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040" activeTab="2"/>
  </bookViews>
  <sheets>
    <sheet name="Rainfall" sheetId="1" r:id="rId1"/>
    <sheet name="River Gauge" sheetId="2" r:id="rId2"/>
    <sheet name="Resevior" sheetId="3" r:id="rId3"/>
  </sheets>
  <definedNames>
    <definedName name="_xlnm.Print_Area" localSheetId="0">Rainfall!$A$1:$J$50</definedName>
    <definedName name="_xlnm.Print_Area" localSheetId="2">Resevior!$A$1:$Q$38</definedName>
    <definedName name="_xlnm.Print_Area" localSheetId="1">'River Gauge'!$A$1:$J$27</definedName>
  </definedNames>
  <calcPr calcId="124519"/>
</workbook>
</file>

<file path=xl/calcChain.xml><?xml version="1.0" encoding="utf-8"?>
<calcChain xmlns="http://schemas.openxmlformats.org/spreadsheetml/2006/main">
  <c r="A1" i="3"/>
  <c r="A2" i="2"/>
</calcChain>
</file>

<file path=xl/sharedStrings.xml><?xml version="1.0" encoding="utf-8"?>
<sst xmlns="http://schemas.openxmlformats.org/spreadsheetml/2006/main" count="360" uniqueCount="206">
  <si>
    <t xml:space="preserve">     RAINFALL DATA      </t>
  </si>
  <si>
    <t/>
  </si>
  <si>
    <t>Sl. No.</t>
  </si>
  <si>
    <t>RIVER SUB-BASIN</t>
  </si>
  <si>
    <t>DISTRICT</t>
  </si>
  <si>
    <t>LOCATION OF RAIN GAUGE STATION</t>
  </si>
  <si>
    <t xml:space="preserve">TYPE </t>
  </si>
  <si>
    <t>Cum. Rainfall
from 1st
January (mm)</t>
  </si>
  <si>
    <t>Districtwise
Normal Annual
Rainfall
(mm)</t>
  </si>
  <si>
    <t>Divisional Jurisdiction</t>
  </si>
  <si>
    <t>DWARAKESWAR</t>
  </si>
  <si>
    <t>BANKURA</t>
  </si>
  <si>
    <t>Bankura</t>
  </si>
  <si>
    <t>ORG</t>
  </si>
  <si>
    <t>Bankura Irrigation Divn.</t>
  </si>
  <si>
    <t>Kotulpur</t>
  </si>
  <si>
    <t>KCD-III Divn. Bishnupur</t>
  </si>
  <si>
    <t>Bishnupur</t>
  </si>
  <si>
    <t>Kamarpukur</t>
  </si>
  <si>
    <t>KANGSABATI</t>
  </si>
  <si>
    <t>PURULIA</t>
  </si>
  <si>
    <t>Purulia Sadar</t>
  </si>
  <si>
    <t>Purulia IrrigationDivision</t>
  </si>
  <si>
    <t>Sanjoy Mridha</t>
  </si>
  <si>
    <t>Saharajore                        (Block:Jhalda-II)</t>
  </si>
  <si>
    <t>Patloi                              (Block:Purulia-II)</t>
  </si>
  <si>
    <t>KUMARI</t>
  </si>
  <si>
    <t>Kumari                          (Block:Balarampur)</t>
  </si>
  <si>
    <t>DAMODAR</t>
  </si>
  <si>
    <t>Golamarajore (Block:Purulia:II)</t>
  </si>
  <si>
    <t>SUBARNAREKHA</t>
  </si>
  <si>
    <t>Jhalda</t>
  </si>
  <si>
    <t>Rupai                               (Block:Jhalda-I)</t>
  </si>
  <si>
    <t>Karrior                         (Block:Jhalda-I)</t>
  </si>
  <si>
    <t>Turga                        (Block:Bagmundi)</t>
  </si>
  <si>
    <t>Bandhu I Scheme                     (Block : Arsha)</t>
  </si>
  <si>
    <t>Tanmoy</t>
  </si>
  <si>
    <t>Extn. Bandhu I Scheme                (Block : Arsha)</t>
  </si>
  <si>
    <t>Barabhum I Scheme                            (Block : Barabazar)</t>
  </si>
  <si>
    <t xml:space="preserve"> </t>
  </si>
  <si>
    <t>Hanumata I Scheme                   (Block : Kangsabati)</t>
  </si>
  <si>
    <t>Beko I Scheme                         (Block : Kashipur)</t>
  </si>
  <si>
    <t>Ramchandrapur I Scheme  (Block : Santuri)</t>
  </si>
  <si>
    <t xml:space="preserve">Dangra                                          (Block: Kashipur) </t>
  </si>
  <si>
    <t>Purulia Investigation and Planning Division.</t>
  </si>
  <si>
    <t>Tamojit Mukherjee</t>
  </si>
  <si>
    <t xml:space="preserve">Moutorejore                                                 (Block: Raghunathpur-II) </t>
  </si>
  <si>
    <t xml:space="preserve">Lipania                                          (Block: Para) </t>
  </si>
  <si>
    <t xml:space="preserve">Taragonia                     
      (Block: Para) </t>
  </si>
  <si>
    <t xml:space="preserve">Tatko                                           (Block: Bundwan) </t>
  </si>
  <si>
    <t>JHARGRAM</t>
  </si>
  <si>
    <t>Gopiballavpur</t>
  </si>
  <si>
    <t>JFMPD, Jhargram</t>
  </si>
  <si>
    <t>KALIAGHAI</t>
  </si>
  <si>
    <t>PURBA MEDINIPUR</t>
  </si>
  <si>
    <t>Amgachia</t>
  </si>
  <si>
    <t>Contai Irrigation Division</t>
  </si>
  <si>
    <t>Heavy</t>
  </si>
  <si>
    <t>HALDI</t>
  </si>
  <si>
    <t>Digha</t>
  </si>
  <si>
    <t>RASULPUR</t>
  </si>
  <si>
    <t>Etamogra</t>
  </si>
  <si>
    <t>Contai</t>
  </si>
  <si>
    <t>RUPNARAYAN</t>
  </si>
  <si>
    <t>Panskura</t>
  </si>
  <si>
    <t>East Midnapore Division</t>
  </si>
  <si>
    <t>Tamluk</t>
  </si>
  <si>
    <t>CHANDIA</t>
  </si>
  <si>
    <t>Barisha</t>
  </si>
  <si>
    <t>Sabang</t>
  </si>
  <si>
    <t>KKB Project Division</t>
  </si>
  <si>
    <t>Amlagora</t>
  </si>
  <si>
    <t>K. Canal Divn.-I</t>
  </si>
  <si>
    <t>Adalia</t>
  </si>
  <si>
    <t>Chadrakona</t>
  </si>
  <si>
    <t>PaniKotar</t>
  </si>
  <si>
    <t>Salboni</t>
  </si>
  <si>
    <t>SHILABATI</t>
  </si>
  <si>
    <t>Ghatal</t>
  </si>
  <si>
    <t>West Midnapore Divn.</t>
  </si>
  <si>
    <t>Midnapore</t>
  </si>
  <si>
    <t>RMC : Regional Mateorological Centre (Source: IMD)</t>
  </si>
  <si>
    <r>
      <rPr>
        <b/>
        <sz val="12"/>
        <rFont val="Cambria"/>
        <family val="1"/>
        <scheme val="major"/>
      </rPr>
      <t>CWC : Central Water Commission</t>
    </r>
  </si>
  <si>
    <r>
      <rPr>
        <b/>
        <sz val="12"/>
        <rFont val="Cambria"/>
        <family val="1"/>
        <scheme val="major"/>
      </rPr>
      <t>ORG : Ordinary Rain Gauge (Source : I&amp;WD)</t>
    </r>
  </si>
  <si>
    <t xml:space="preserve">RIVER GAUGE DATA </t>
  </si>
  <si>
    <t>Sl.
No.</t>
  </si>
  <si>
    <t>Name of River</t>
  </si>
  <si>
    <t>Name of Gauge
Station</t>
  </si>
  <si>
    <t>Name of District</t>
  </si>
  <si>
    <t>Gauge
Level,
recorded at
18:00 hrs.
(mGTS)</t>
  </si>
  <si>
    <t>TREND</t>
  </si>
  <si>
    <t>Danger
Level
(mGTS)</t>
  </si>
  <si>
    <t>Extreme
Danger
Level
(mGTS)</t>
  </si>
  <si>
    <t>REMARKS</t>
  </si>
  <si>
    <t>Darakeswar</t>
  </si>
  <si>
    <t>Patakhola</t>
  </si>
  <si>
    <t>Bankura Irrigation Division</t>
  </si>
  <si>
    <t>Gandeshwari</t>
  </si>
  <si>
    <t>Lokhatora</t>
  </si>
  <si>
    <t>Subarnarekha</t>
  </si>
  <si>
    <t>Jhargaram</t>
  </si>
  <si>
    <t>Jhargram Flood
Management &amp; Planning
Divn.</t>
  </si>
  <si>
    <t>Kaliaghai</t>
  </si>
  <si>
    <t>Purba Medinipur</t>
  </si>
  <si>
    <t>Sonakonia</t>
  </si>
  <si>
    <t>High Tide</t>
  </si>
  <si>
    <t>Low Tide</t>
  </si>
  <si>
    <t>Rupnarayan</t>
  </si>
  <si>
    <t>Denan</t>
  </si>
  <si>
    <t>Old Cossey</t>
  </si>
  <si>
    <t>Durbachatty</t>
  </si>
  <si>
    <t>New Cossey</t>
  </si>
  <si>
    <t>Dobandi</t>
  </si>
  <si>
    <t>Chandia</t>
  </si>
  <si>
    <t xml:space="preserve">Bakhrabad (Narayangarh) </t>
  </si>
  <si>
    <t>Paschim Midnapur</t>
  </si>
  <si>
    <t xml:space="preserve">Dehati (Sabang) </t>
  </si>
  <si>
    <t>Kalimandap (Sabang)</t>
  </si>
  <si>
    <t>Kapaleswari</t>
  </si>
  <si>
    <t>Narayanbarh (Sabang)</t>
  </si>
  <si>
    <t>Shilabati</t>
  </si>
  <si>
    <t>Banka</t>
  </si>
  <si>
    <t>West Midnapore Division</t>
  </si>
  <si>
    <t>Gadghat</t>
  </si>
  <si>
    <t>Bandar</t>
  </si>
  <si>
    <t>Gopiganj</t>
  </si>
  <si>
    <t>Kangsabati</t>
  </si>
  <si>
    <t>Mohanpur</t>
  </si>
  <si>
    <t>Old Cossye</t>
  </si>
  <si>
    <t>Kolmijore</t>
  </si>
  <si>
    <t>Cossye</t>
  </si>
  <si>
    <t>Saldahari/Kapstigri</t>
  </si>
  <si>
    <t>Ranichak</t>
  </si>
  <si>
    <t>RESERVOIR DATA</t>
  </si>
  <si>
    <t>River Sub-basin</t>
  </si>
  <si>
    <t>Name of
Reservoir</t>
  </si>
  <si>
    <t>Conservation
Level
in ft.</t>
  </si>
  <si>
    <t>Maximum
Flood Level
(ft.)</t>
  </si>
  <si>
    <t>Present
Reservoir
Level (ft.)</t>
  </si>
  <si>
    <t>Inflow in
past 24 Hrs.
(ac.-ft.)</t>
  </si>
  <si>
    <t>Outflow in
past 24 Hrs.
(ac.-ft.)</t>
  </si>
  <si>
    <t>Observation
Time</t>
  </si>
  <si>
    <t>Mukutmanipur</t>
  </si>
  <si>
    <t>DISCHARGE PASSING DOWN MAJOR BARRAGES</t>
  </si>
  <si>
    <t>River Sub-Basin</t>
  </si>
  <si>
    <t>Name of Barrage</t>
  </si>
  <si>
    <t>Pond Level
(ft.)</t>
  </si>
  <si>
    <t>Present
Water Level
(ft.)</t>
  </si>
  <si>
    <t>Discharge passing down
the Barrage
(cusec)</t>
  </si>
  <si>
    <t>RIVER DISCHARGE DATA</t>
  </si>
  <si>
    <t>Name of Gauge
         Station</t>
  </si>
  <si>
    <t>DL
(mGTS)</t>
  </si>
  <si>
    <t>EDL
(mGTS)</t>
  </si>
  <si>
    <t>Present
Gauge Level
in m</t>
  </si>
  <si>
    <t>Discharge
in cusec</t>
  </si>
  <si>
    <t>Trend</t>
  </si>
  <si>
    <t>Kapastikri</t>
  </si>
  <si>
    <t>Signals (RED or YELLOW) for North Bengal River system</t>
  </si>
  <si>
    <t>Area</t>
  </si>
  <si>
    <t>Date of Signal
imposed</t>
  </si>
  <si>
    <t>Time of Signal
imposed</t>
  </si>
  <si>
    <t>Type of Signal</t>
  </si>
  <si>
    <t>Present Status</t>
  </si>
  <si>
    <t>NA</t>
  </si>
  <si>
    <t>Forecast :</t>
  </si>
  <si>
    <t>Rain-gauge stations at which HEAVY RAINFALL or Above recorded during last 24 hrs.</t>
  </si>
  <si>
    <t>Extremely Heavy Rainfall :-</t>
  </si>
  <si>
    <t xml:space="preserve">  </t>
  </si>
  <si>
    <t>Bankura,
Purulia</t>
  </si>
  <si>
    <r>
      <rPr>
        <b/>
        <sz val="12"/>
        <rFont val="Arial"/>
        <family val="2"/>
      </rPr>
      <t>Special Alert / Major Damage / Flood Intimation Report</t>
    </r>
  </si>
  <si>
    <t>SILABATI</t>
  </si>
  <si>
    <t>KUBAI</t>
  </si>
  <si>
    <t>DONAI</t>
  </si>
  <si>
    <t>TAMAL</t>
  </si>
  <si>
    <t>Rainfall in
last 24 hrs.,
recorded at
6.00 hrs.
(mm)</t>
  </si>
  <si>
    <t>Parga  (Block:Jhalda-II)</t>
  </si>
  <si>
    <r>
      <t>Remarks/</t>
    </r>
    <r>
      <rPr>
        <sz val="14"/>
        <color theme="1"/>
        <rFont val="Cambria"/>
        <family val="1"/>
        <scheme val="major"/>
      </rPr>
      <t xml:space="preserve">
</t>
    </r>
    <r>
      <rPr>
        <b/>
        <sz val="14"/>
        <color theme="1"/>
        <rFont val="Cambria"/>
        <family val="1"/>
        <scheme val="major"/>
      </rPr>
      <t>Heavy(64.5-115.5)/
Very Heavy(115.6-204.4)/
Extremely High(&gt;=204.5)</t>
    </r>
  </si>
  <si>
    <t>PASCHIM MEDINIPUR</t>
  </si>
  <si>
    <t>Purulia Construction Division (Irrigation)</t>
  </si>
  <si>
    <r>
      <rPr>
        <b/>
        <sz val="12"/>
        <rFont val="Arial"/>
        <family val="2"/>
      </rPr>
      <t>Very Heavy Rainfall :-</t>
    </r>
  </si>
  <si>
    <r>
      <rPr>
        <b/>
        <sz val="12"/>
        <rFont val="Arial"/>
        <family val="2"/>
      </rPr>
      <t>Heavy Rainfall :-</t>
    </r>
  </si>
  <si>
    <r>
      <rPr>
        <b/>
        <sz val="16"/>
        <rFont val="Arial"/>
        <family val="2"/>
      </rPr>
      <t>River-gauge stations at which water level touched or crossed DL / EDL</t>
    </r>
  </si>
  <si>
    <r>
      <rPr>
        <b/>
        <sz val="12"/>
        <rFont val="Arial"/>
        <family val="2"/>
      </rPr>
      <t>At/Above Extreme Danger Level (EDL):-</t>
    </r>
  </si>
  <si>
    <r>
      <rPr>
        <b/>
        <sz val="12"/>
        <rFont val="Arial"/>
        <family val="2"/>
      </rPr>
      <t>At/Above Danger Level (DL):-</t>
    </r>
  </si>
  <si>
    <r>
      <rPr>
        <b/>
        <sz val="12"/>
        <rFont val="Arial"/>
        <family val="2"/>
      </rPr>
      <t>Name of Division:</t>
    </r>
  </si>
  <si>
    <t>K. Canal    
Divn.-II</t>
  </si>
  <si>
    <t>RFCR</t>
  </si>
  <si>
    <t>Paschim Medinipur</t>
  </si>
  <si>
    <t>Shift-in-charge</t>
  </si>
  <si>
    <t>West Midnapur
Bankura</t>
  </si>
  <si>
    <t>Warnings:</t>
  </si>
  <si>
    <t>DATE:24.06.2026                                                                                                         DAILY FLOOD REPORT, I&amp;W Dept.</t>
  </si>
  <si>
    <t>Weather Bulletin for West Bengal valid from 08:30 hrs of 24.06.2026 to 08:30 hrs of 25.06.2026 (as per IMD, Kolkata)</t>
  </si>
  <si>
    <t xml:space="preserve">East Midnapore
West Midnapur
 Jhargram
Bankura,
Purulia
</t>
  </si>
  <si>
    <t>East Midnapore
West Midnapur Jhargram
Bankura
Purulia</t>
  </si>
  <si>
    <t>BG</t>
  </si>
  <si>
    <t>Rising</t>
  </si>
  <si>
    <t>Steady</t>
  </si>
  <si>
    <t>(+)1.050</t>
  </si>
  <si>
    <t>(-)0.800</t>
  </si>
  <si>
    <t>Falling</t>
  </si>
  <si>
    <t>Light to moderate Rain/Thunders hower Likely to occur at a few places.</t>
  </si>
  <si>
    <t>NIL</t>
  </si>
  <si>
    <t>At. 03:19AM</t>
  </si>
  <si>
    <t>At. 10:11 AM</t>
  </si>
  <si>
    <t>Not Available</t>
  </si>
</sst>
</file>

<file path=xl/styles.xml><?xml version="1.0" encoding="utf-8"?>
<styleSheet xmlns="http://schemas.openxmlformats.org/spreadsheetml/2006/main">
  <numFmts count="7">
    <numFmt numFmtId="164" formatCode="\ \ \ \ \ \ @"/>
    <numFmt numFmtId="165" formatCode="0.000"/>
    <numFmt numFmtId="166" formatCode="0.00;[Red]0.00"/>
    <numFmt numFmtId="167" formatCode="[$-409]hh:mm\ AM/PM;@"/>
    <numFmt numFmtId="168" formatCode="0.00_ "/>
    <numFmt numFmtId="169" formatCode="0_ "/>
    <numFmt numFmtId="170" formatCode="[$-409]hh:mm\ AM/PM"/>
  </numFmts>
  <fonts count="7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  <font>
      <sz val="9"/>
      <color theme="1"/>
      <name val="Arial"/>
      <family val="2"/>
    </font>
    <font>
      <b/>
      <u/>
      <sz val="20"/>
      <color theme="1"/>
      <name val="Calibri"/>
      <family val="2"/>
      <scheme val="minor"/>
    </font>
    <font>
      <b/>
      <sz val="14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name val="Calibri"/>
      <family val="2"/>
    </font>
    <font>
      <sz val="11"/>
      <color theme="4"/>
      <name val="Calibri"/>
      <family val="2"/>
      <scheme val="minor"/>
    </font>
    <font>
      <b/>
      <u/>
      <sz val="20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name val="Cambria"/>
      <family val="1"/>
      <scheme val="major"/>
    </font>
    <font>
      <b/>
      <sz val="12"/>
      <color rgb="FF000000"/>
      <name val="Cambria"/>
      <family val="1"/>
      <scheme val="major"/>
    </font>
    <font>
      <b/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1"/>
      <name val="Cambria"/>
      <family val="1"/>
      <scheme val="maj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14"/>
      <name val="Cambria"/>
      <family val="1"/>
      <scheme val="major"/>
    </font>
    <font>
      <b/>
      <sz val="14"/>
      <name val="Cambria"/>
      <family val="1"/>
      <scheme val="major"/>
    </font>
    <font>
      <sz val="14"/>
      <color rgb="FF000000"/>
      <name val="Cambria"/>
      <family val="1"/>
      <scheme val="major"/>
    </font>
    <font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Arial"/>
      <family val="2"/>
    </font>
    <font>
      <sz val="14"/>
      <color theme="4"/>
      <name val="Cambria"/>
      <family val="1"/>
      <scheme val="major"/>
    </font>
    <font>
      <sz val="14"/>
      <color rgb="FFFF0000"/>
      <name val="Cambria"/>
      <family val="1"/>
      <scheme val="major"/>
    </font>
    <font>
      <sz val="14"/>
      <name val="Calibri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2"/>
      <name val="Arial"/>
      <family val="2"/>
    </font>
    <font>
      <sz val="14"/>
      <color rgb="FFFF0000"/>
      <name val="Arial"/>
      <family val="2"/>
    </font>
    <font>
      <b/>
      <sz val="16"/>
      <color rgb="FF000000"/>
      <name val="Arial"/>
      <family val="2"/>
    </font>
    <font>
      <b/>
      <sz val="16"/>
      <name val="Arial"/>
      <family val="2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3.5"/>
      <color rgb="FF000000"/>
      <name val="Cambria"/>
      <family val="1"/>
      <scheme val="major"/>
    </font>
    <font>
      <sz val="13.5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mbria"/>
      <family val="1"/>
      <scheme val="major"/>
    </font>
    <font>
      <b/>
      <sz val="16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mbria"/>
      <family val="1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D8D8D8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6">
    <xf numFmtId="0" fontId="0" fillId="0" borderId="0"/>
    <xf numFmtId="0" fontId="24" fillId="0" borderId="0"/>
    <xf numFmtId="0" fontId="2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3" fillId="0" borderId="0"/>
    <xf numFmtId="0" fontId="24" fillId="0" borderId="0"/>
    <xf numFmtId="0" fontId="13" fillId="0" borderId="0"/>
    <xf numFmtId="0" fontId="13" fillId="0" borderId="0">
      <alignment vertical="center"/>
    </xf>
    <xf numFmtId="0" fontId="23" fillId="0" borderId="0"/>
    <xf numFmtId="0" fontId="62" fillId="0" borderId="0">
      <alignment vertical="center"/>
    </xf>
    <xf numFmtId="0" fontId="63" fillId="0" borderId="0">
      <protection locked="0"/>
    </xf>
    <xf numFmtId="0" fontId="13" fillId="0" borderId="0">
      <protection locked="0"/>
    </xf>
    <xf numFmtId="0" fontId="63" fillId="0" borderId="0">
      <protection locked="0"/>
    </xf>
    <xf numFmtId="0" fontId="1" fillId="0" borderId="0"/>
    <xf numFmtId="0" fontId="1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5" fillId="0" borderId="0"/>
    <xf numFmtId="0" fontId="1" fillId="0" borderId="0"/>
    <xf numFmtId="0" fontId="64" fillId="0" borderId="0"/>
    <xf numFmtId="0" fontId="64" fillId="0" borderId="0">
      <alignment vertical="center"/>
    </xf>
    <xf numFmtId="0" fontId="65" fillId="0" borderId="0"/>
    <xf numFmtId="0" fontId="61" fillId="0" borderId="0">
      <alignment vertical="center"/>
    </xf>
  </cellStyleXfs>
  <cellXfs count="26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2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/>
    <xf numFmtId="0" fontId="2" fillId="0" borderId="0" xfId="0" applyFont="1" applyAlignment="1">
      <alignment horizontal="left" vertical="justify" wrapText="1"/>
    </xf>
    <xf numFmtId="0" fontId="0" fillId="0" borderId="0" xfId="0" applyAlignment="1">
      <alignment vertical="justify" wrapText="1"/>
    </xf>
    <xf numFmtId="0" fontId="0" fillId="0" borderId="0" xfId="0" applyAlignment="1">
      <alignment vertical="justify"/>
    </xf>
    <xf numFmtId="0" fontId="14" fillId="0" borderId="0" xfId="0" applyFont="1"/>
    <xf numFmtId="0" fontId="12" fillId="0" borderId="0" xfId="0" applyFont="1"/>
    <xf numFmtId="0" fontId="12" fillId="2" borderId="0" xfId="0" applyFont="1" applyFill="1"/>
    <xf numFmtId="0" fontId="16" fillId="0" borderId="0" xfId="0" applyFont="1" applyAlignment="1">
      <alignment horizontal="left" vertical="top" wrapText="1"/>
    </xf>
    <xf numFmtId="164" fontId="18" fillId="2" borderId="0" xfId="0" applyNumberFormat="1" applyFont="1" applyFill="1" applyAlignment="1">
      <alignment horizontal="left" vertical="center" wrapText="1"/>
    </xf>
    <xf numFmtId="0" fontId="16" fillId="2" borderId="0" xfId="0" applyFont="1" applyFill="1" applyAlignment="1">
      <alignment horizontal="left" vertical="top" wrapText="1"/>
    </xf>
    <xf numFmtId="0" fontId="19" fillId="0" borderId="0" xfId="0" applyFont="1" applyAlignment="1">
      <alignment vertical="justify" wrapText="1"/>
    </xf>
    <xf numFmtId="0" fontId="20" fillId="0" borderId="0" xfId="0" applyFont="1" applyAlignment="1">
      <alignment vertical="justify" wrapText="1"/>
    </xf>
    <xf numFmtId="168" fontId="0" fillId="0" borderId="0" xfId="0" applyNumberFormat="1" applyAlignment="1">
      <alignment vertical="justify"/>
    </xf>
    <xf numFmtId="168" fontId="0" fillId="0" borderId="0" xfId="0" applyNumberFormat="1"/>
    <xf numFmtId="0" fontId="21" fillId="5" borderId="9" xfId="0" applyFont="1" applyFill="1" applyBorder="1" applyAlignment="1">
      <alignment horizontal="center" vertical="center"/>
    </xf>
    <xf numFmtId="2" fontId="0" fillId="0" borderId="34" xfId="0" applyNumberFormat="1" applyBorder="1"/>
    <xf numFmtId="0" fontId="13" fillId="2" borderId="4" xfId="0" applyFont="1" applyFill="1" applyBorder="1" applyAlignment="1">
      <alignment horizontal="center" vertical="center"/>
    </xf>
    <xf numFmtId="2" fontId="0" fillId="0" borderId="0" xfId="0" applyNumberFormat="1"/>
    <xf numFmtId="0" fontId="13" fillId="0" borderId="0" xfId="0" applyFont="1"/>
    <xf numFmtId="2" fontId="6" fillId="0" borderId="9" xfId="0" applyNumberFormat="1" applyFont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top" wrapText="1"/>
    </xf>
    <xf numFmtId="0" fontId="26" fillId="2" borderId="10" xfId="0" applyFont="1" applyFill="1" applyBorder="1" applyAlignment="1">
      <alignment horizontal="center" vertical="center" wrapText="1"/>
    </xf>
    <xf numFmtId="168" fontId="0" fillId="2" borderId="0" xfId="0" applyNumberFormat="1" applyFill="1"/>
    <xf numFmtId="0" fontId="27" fillId="2" borderId="4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169" fontId="31" fillId="2" borderId="4" xfId="0" applyNumberFormat="1" applyFont="1" applyFill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5" borderId="11" xfId="0" applyFont="1" applyFill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justify"/>
    </xf>
    <xf numFmtId="0" fontId="37" fillId="2" borderId="9" xfId="0" applyFont="1" applyFill="1" applyBorder="1" applyAlignment="1">
      <alignment horizontal="center" vertical="justify"/>
    </xf>
    <xf numFmtId="0" fontId="37" fillId="0" borderId="15" xfId="0" applyFont="1" applyBorder="1" applyAlignment="1">
      <alignment horizontal="center" vertical="justify"/>
    </xf>
    <xf numFmtId="0" fontId="41" fillId="3" borderId="5" xfId="6" applyFont="1" applyFill="1" applyBorder="1" applyAlignment="1">
      <alignment horizontal="center" vertical="justify" wrapText="1"/>
    </xf>
    <xf numFmtId="0" fontId="38" fillId="2" borderId="9" xfId="0" applyFont="1" applyFill="1" applyBorder="1" applyAlignment="1">
      <alignment horizontal="center" vertical="justify"/>
    </xf>
    <xf numFmtId="0" fontId="41" fillId="6" borderId="9" xfId="0" applyFont="1" applyFill="1" applyBorder="1" applyAlignment="1">
      <alignment horizontal="center" vertical="justify"/>
    </xf>
    <xf numFmtId="0" fontId="41" fillId="4" borderId="9" xfId="0" applyFont="1" applyFill="1" applyBorder="1" applyAlignment="1">
      <alignment horizontal="center" vertical="justify"/>
    </xf>
    <xf numFmtId="0" fontId="39" fillId="2" borderId="11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/>
    </xf>
    <xf numFmtId="166" fontId="41" fillId="2" borderId="9" xfId="0" applyNumberFormat="1" applyFont="1" applyFill="1" applyBorder="1" applyAlignment="1">
      <alignment horizontal="center" vertical="center"/>
    </xf>
    <xf numFmtId="0" fontId="40" fillId="2" borderId="9" xfId="0" applyFont="1" applyFill="1" applyBorder="1" applyAlignment="1">
      <alignment horizontal="center" vertical="center"/>
    </xf>
    <xf numFmtId="0" fontId="39" fillId="2" borderId="9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/>
    </xf>
    <xf numFmtId="0" fontId="39" fillId="2" borderId="15" xfId="0" applyFont="1" applyFill="1" applyBorder="1" applyAlignment="1">
      <alignment horizontal="center" vertical="center" wrapText="1"/>
    </xf>
    <xf numFmtId="0" fontId="39" fillId="2" borderId="5" xfId="0" applyFont="1" applyFill="1" applyBorder="1" applyAlignment="1">
      <alignment horizontal="center" vertical="center" wrapText="1"/>
    </xf>
    <xf numFmtId="0" fontId="39" fillId="2" borderId="8" xfId="0" applyFont="1" applyFill="1" applyBorder="1" applyAlignment="1">
      <alignment horizontal="center" vertical="center" wrapText="1"/>
    </xf>
    <xf numFmtId="0" fontId="39" fillId="2" borderId="9" xfId="0" applyFont="1" applyFill="1" applyBorder="1" applyAlignment="1">
      <alignment horizontal="center" vertical="center"/>
    </xf>
    <xf numFmtId="0" fontId="39" fillId="2" borderId="4" xfId="0" applyFont="1" applyFill="1" applyBorder="1" applyAlignment="1">
      <alignment horizontal="center" vertical="center" wrapText="1"/>
    </xf>
    <xf numFmtId="0" fontId="42" fillId="2" borderId="9" xfId="0" applyFont="1" applyFill="1" applyBorder="1"/>
    <xf numFmtId="0" fontId="42" fillId="2" borderId="9" xfId="0" applyFont="1" applyFill="1" applyBorder="1" applyAlignment="1">
      <alignment horizontal="center"/>
    </xf>
    <xf numFmtId="0" fontId="38" fillId="0" borderId="9" xfId="0" applyFont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 wrapText="1"/>
    </xf>
    <xf numFmtId="0" fontId="45" fillId="2" borderId="9" xfId="0" applyFont="1" applyFill="1" applyBorder="1" applyAlignment="1">
      <alignment horizontal="center" vertical="center"/>
    </xf>
    <xf numFmtId="0" fontId="38" fillId="2" borderId="9" xfId="0" applyFont="1" applyFill="1" applyBorder="1" applyAlignment="1">
      <alignment horizontal="center" vertical="center"/>
    </xf>
    <xf numFmtId="0" fontId="39" fillId="2" borderId="9" xfId="0" applyFont="1" applyFill="1" applyBorder="1" applyAlignment="1">
      <alignment horizontal="center"/>
    </xf>
    <xf numFmtId="0" fontId="39" fillId="2" borderId="10" xfId="0" applyFont="1" applyFill="1" applyBorder="1" applyAlignment="1">
      <alignment horizontal="center" vertical="center"/>
    </xf>
    <xf numFmtId="0" fontId="38" fillId="2" borderId="9" xfId="0" applyFont="1" applyFill="1" applyBorder="1" applyAlignment="1">
      <alignment horizontal="center"/>
    </xf>
    <xf numFmtId="0" fontId="38" fillId="0" borderId="22" xfId="0" applyFont="1" applyBorder="1" applyAlignment="1">
      <alignment horizontal="center" vertical="center"/>
    </xf>
    <xf numFmtId="0" fontId="39" fillId="2" borderId="22" xfId="0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/>
    </xf>
    <xf numFmtId="0" fontId="39" fillId="2" borderId="21" xfId="0" applyFont="1" applyFill="1" applyBorder="1" applyAlignment="1">
      <alignment horizontal="center" vertical="center"/>
    </xf>
    <xf numFmtId="2" fontId="39" fillId="2" borderId="9" xfId="0" applyNumberFormat="1" applyFont="1" applyFill="1" applyBorder="1" applyAlignment="1">
      <alignment horizontal="center" vertical="center"/>
    </xf>
    <xf numFmtId="168" fontId="39" fillId="2" borderId="9" xfId="0" applyNumberFormat="1" applyFont="1" applyFill="1" applyBorder="1" applyAlignment="1">
      <alignment horizontal="center"/>
    </xf>
    <xf numFmtId="2" fontId="39" fillId="2" borderId="9" xfId="0" applyNumberFormat="1" applyFont="1" applyFill="1" applyBorder="1" applyAlignment="1">
      <alignment horizontal="center"/>
    </xf>
    <xf numFmtId="0" fontId="39" fillId="2" borderId="21" xfId="0" applyFont="1" applyFill="1" applyBorder="1" applyAlignment="1">
      <alignment horizontal="center" vertical="center" wrapText="1"/>
    </xf>
    <xf numFmtId="2" fontId="40" fillId="2" borderId="9" xfId="0" applyNumberFormat="1" applyFont="1" applyFill="1" applyBorder="1" applyAlignment="1">
      <alignment horizontal="center"/>
    </xf>
    <xf numFmtId="0" fontId="39" fillId="3" borderId="4" xfId="6" applyFont="1" applyFill="1" applyBorder="1" applyAlignment="1">
      <alignment horizontal="center" vertical="center"/>
    </xf>
    <xf numFmtId="0" fontId="41" fillId="4" borderId="4" xfId="0" applyFont="1" applyFill="1" applyBorder="1" applyAlignment="1">
      <alignment horizontal="center" vertical="center"/>
    </xf>
    <xf numFmtId="2" fontId="38" fillId="2" borderId="9" xfId="0" applyNumberFormat="1" applyFont="1" applyFill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8" fillId="2" borderId="11" xfId="0" applyFont="1" applyFill="1" applyBorder="1" applyAlignment="1">
      <alignment horizontal="center" vertical="center"/>
    </xf>
    <xf numFmtId="2" fontId="39" fillId="2" borderId="3" xfId="0" applyNumberFormat="1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 wrapText="1"/>
    </xf>
    <xf numFmtId="166" fontId="38" fillId="2" borderId="6" xfId="0" applyNumberFormat="1" applyFont="1" applyFill="1" applyBorder="1" applyAlignment="1">
      <alignment horizontal="center" vertical="center"/>
    </xf>
    <xf numFmtId="166" fontId="46" fillId="2" borderId="4" xfId="0" applyNumberFormat="1" applyFont="1" applyFill="1" applyBorder="1" applyAlignment="1">
      <alignment horizontal="center" vertical="center"/>
    </xf>
    <xf numFmtId="0" fontId="41" fillId="2" borderId="9" xfId="0" applyFont="1" applyFill="1" applyBorder="1" applyAlignment="1">
      <alignment horizontal="center" vertical="center"/>
    </xf>
    <xf numFmtId="0" fontId="42" fillId="2" borderId="9" xfId="0" applyFont="1" applyFill="1" applyBorder="1" applyAlignment="1">
      <alignment horizontal="center" vertical="center"/>
    </xf>
    <xf numFmtId="2" fontId="47" fillId="2" borderId="9" xfId="0" applyNumberFormat="1" applyFont="1" applyFill="1" applyBorder="1" applyAlignment="1">
      <alignment horizontal="center" vertical="center"/>
    </xf>
    <xf numFmtId="0" fontId="47" fillId="2" borderId="9" xfId="0" applyFont="1" applyFill="1" applyBorder="1" applyAlignment="1">
      <alignment horizontal="center" vertical="center"/>
    </xf>
    <xf numFmtId="0" fontId="48" fillId="2" borderId="9" xfId="0" applyFont="1" applyFill="1" applyBorder="1" applyAlignment="1">
      <alignment horizontal="center" vertical="center" wrapText="1"/>
    </xf>
    <xf numFmtId="0" fontId="42" fillId="2" borderId="9" xfId="0" applyFont="1" applyFill="1" applyBorder="1" applyAlignment="1">
      <alignment horizontal="center" vertical="center" wrapText="1"/>
    </xf>
    <xf numFmtId="0" fontId="37" fillId="2" borderId="9" xfId="0" applyFont="1" applyFill="1" applyBorder="1" applyAlignment="1">
      <alignment horizontal="center" vertical="center"/>
    </xf>
    <xf numFmtId="2" fontId="42" fillId="2" borderId="9" xfId="0" applyNumberFormat="1" applyFont="1" applyFill="1" applyBorder="1" applyAlignment="1">
      <alignment horizontal="center" vertical="center"/>
    </xf>
    <xf numFmtId="169" fontId="49" fillId="2" borderId="4" xfId="6" applyNumberFormat="1" applyFont="1" applyFill="1" applyBorder="1" applyAlignment="1">
      <alignment horizontal="center" vertical="center" wrapText="1"/>
    </xf>
    <xf numFmtId="0" fontId="42" fillId="0" borderId="0" xfId="0" applyFont="1" applyAlignment="1">
      <alignment vertical="center"/>
    </xf>
    <xf numFmtId="0" fontId="33" fillId="2" borderId="4" xfId="0" applyFont="1" applyFill="1" applyBorder="1" applyAlignment="1">
      <alignment horizontal="center" vertical="center" wrapText="1"/>
    </xf>
    <xf numFmtId="169" fontId="50" fillId="2" borderId="4" xfId="0" applyNumberFormat="1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167" fontId="50" fillId="2" borderId="4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left" vertical="top" wrapText="1"/>
    </xf>
    <xf numFmtId="0" fontId="49" fillId="0" borderId="4" xfId="0" applyFont="1" applyBorder="1" applyAlignment="1">
      <alignment horizontal="center" vertical="center" wrapText="1"/>
    </xf>
    <xf numFmtId="170" fontId="49" fillId="0" borderId="4" xfId="0" applyNumberFormat="1" applyFont="1" applyBorder="1" applyAlignment="1">
      <alignment horizontal="center" vertical="center" wrapText="1"/>
    </xf>
    <xf numFmtId="2" fontId="59" fillId="2" borderId="9" xfId="0" applyNumberFormat="1" applyFont="1" applyFill="1" applyBorder="1" applyAlignment="1">
      <alignment horizontal="center" vertical="center"/>
    </xf>
    <xf numFmtId="166" fontId="58" fillId="2" borderId="9" xfId="0" applyNumberFormat="1" applyFont="1" applyFill="1" applyBorder="1" applyAlignment="1">
      <alignment horizontal="center" vertical="center"/>
    </xf>
    <xf numFmtId="167" fontId="28" fillId="0" borderId="4" xfId="0" applyNumberFormat="1" applyFont="1" applyBorder="1" applyAlignment="1">
      <alignment horizontal="center" vertical="center" wrapText="1"/>
    </xf>
    <xf numFmtId="0" fontId="39" fillId="2" borderId="11" xfId="0" applyFont="1" applyFill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 wrapText="1"/>
    </xf>
    <xf numFmtId="169" fontId="28" fillId="0" borderId="9" xfId="0" applyNumberFormat="1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1" fillId="2" borderId="9" xfId="0" applyFont="1" applyFill="1" applyBorder="1" applyAlignment="1">
      <alignment horizontal="center" vertical="center"/>
    </xf>
    <xf numFmtId="0" fontId="69" fillId="0" borderId="9" xfId="0" applyFont="1" applyBorder="1" applyAlignment="1">
      <alignment horizontal="center" vertical="center"/>
    </xf>
    <xf numFmtId="0" fontId="69" fillId="2" borderId="9" xfId="0" applyFont="1" applyFill="1" applyBorder="1" applyAlignment="1">
      <alignment horizontal="center" vertical="center"/>
    </xf>
    <xf numFmtId="0" fontId="29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68" fillId="0" borderId="9" xfId="0" applyFont="1" applyFill="1" applyBorder="1" applyAlignment="1">
      <alignment horizontal="center" vertical="center"/>
    </xf>
    <xf numFmtId="2" fontId="70" fillId="2" borderId="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38" fillId="0" borderId="9" xfId="0" applyFont="1" applyBorder="1" applyAlignment="1">
      <alignment horizontal="center" vertical="justify"/>
    </xf>
    <xf numFmtId="0" fontId="39" fillId="0" borderId="28" xfId="0" applyFont="1" applyBorder="1" applyAlignment="1">
      <alignment horizontal="center" vertical="center"/>
    </xf>
    <xf numFmtId="0" fontId="39" fillId="0" borderId="28" xfId="0" applyFont="1" applyBorder="1"/>
    <xf numFmtId="0" fontId="38" fillId="0" borderId="10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9" fillId="2" borderId="10" xfId="0" applyFont="1" applyFill="1" applyBorder="1" applyAlignment="1">
      <alignment horizontal="center" vertical="center"/>
    </xf>
    <xf numFmtId="0" fontId="42" fillId="2" borderId="22" xfId="0" applyFont="1" applyFill="1" applyBorder="1" applyAlignment="1">
      <alignment vertical="center"/>
    </xf>
    <xf numFmtId="0" fontId="42" fillId="2" borderId="11" xfId="0" applyFont="1" applyFill="1" applyBorder="1" applyAlignment="1">
      <alignment vertical="center"/>
    </xf>
    <xf numFmtId="0" fontId="39" fillId="2" borderId="22" xfId="0" applyFont="1" applyFill="1" applyBorder="1" applyAlignment="1">
      <alignment horizontal="center" vertical="center" wrapText="1"/>
    </xf>
    <xf numFmtId="0" fontId="39" fillId="2" borderId="11" xfId="0" applyFont="1" applyFill="1" applyBorder="1" applyAlignment="1">
      <alignment horizontal="center" vertical="center" wrapText="1"/>
    </xf>
    <xf numFmtId="0" fontId="39" fillId="2" borderId="10" xfId="0" applyFont="1" applyFill="1" applyBorder="1" applyAlignment="1">
      <alignment horizontal="center" vertical="center" wrapText="1"/>
    </xf>
    <xf numFmtId="0" fontId="39" fillId="2" borderId="29" xfId="0" applyFont="1" applyFill="1" applyBorder="1" applyAlignment="1">
      <alignment horizontal="center" vertical="center" wrapText="1"/>
    </xf>
    <xf numFmtId="0" fontId="39" fillId="2" borderId="30" xfId="0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wrapText="1"/>
    </xf>
    <xf numFmtId="0" fontId="39" fillId="2" borderId="31" xfId="0" applyFont="1" applyFill="1" applyBorder="1" applyAlignment="1">
      <alignment horizontal="center" vertical="center" wrapText="1"/>
    </xf>
    <xf numFmtId="0" fontId="39" fillId="2" borderId="22" xfId="0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/>
    </xf>
    <xf numFmtId="0" fontId="39" fillId="2" borderId="27" xfId="0" applyFont="1" applyFill="1" applyBorder="1" applyAlignment="1">
      <alignment horizontal="center" vertical="center"/>
    </xf>
    <xf numFmtId="0" fontId="39" fillId="2" borderId="27" xfId="0" applyFont="1" applyFill="1" applyBorder="1"/>
    <xf numFmtId="0" fontId="41" fillId="4" borderId="19" xfId="0" applyFont="1" applyFill="1" applyBorder="1" applyAlignment="1">
      <alignment horizontal="center" vertical="center" wrapText="1"/>
    </xf>
    <xf numFmtId="0" fontId="41" fillId="4" borderId="32" xfId="0" applyFont="1" applyFill="1" applyBorder="1" applyAlignment="1">
      <alignment horizontal="center" vertical="center" wrapText="1"/>
    </xf>
    <xf numFmtId="0" fontId="41" fillId="4" borderId="3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64" fontId="18" fillId="2" borderId="0" xfId="0" applyNumberFormat="1" applyFont="1" applyFill="1" applyAlignment="1">
      <alignment horizontal="left" vertical="top" wrapText="1"/>
    </xf>
    <xf numFmtId="164" fontId="18" fillId="2" borderId="0" xfId="0" applyNumberFormat="1" applyFont="1" applyFill="1" applyAlignment="1">
      <alignment horizontal="left" vertical="center" wrapText="1"/>
    </xf>
    <xf numFmtId="0" fontId="39" fillId="7" borderId="28" xfId="0" applyFont="1" applyFill="1" applyBorder="1" applyAlignment="1">
      <alignment horizontal="center" vertical="center" wrapText="1"/>
    </xf>
    <xf numFmtId="0" fontId="39" fillId="7" borderId="12" xfId="0" applyFont="1" applyFill="1" applyBorder="1" applyAlignment="1">
      <alignment horizontal="center" vertical="center" wrapText="1"/>
    </xf>
    <xf numFmtId="0" fontId="39" fillId="7" borderId="26" xfId="0" applyFont="1" applyFill="1" applyBorder="1" applyAlignment="1">
      <alignment horizontal="center" vertical="center" wrapText="1"/>
    </xf>
    <xf numFmtId="0" fontId="39" fillId="2" borderId="28" xfId="0" applyFont="1" applyFill="1" applyBorder="1"/>
    <xf numFmtId="0" fontId="41" fillId="2" borderId="10" xfId="5" applyFont="1" applyFill="1" applyBorder="1" applyAlignment="1">
      <alignment horizontal="center" vertical="center" wrapText="1"/>
    </xf>
    <xf numFmtId="0" fontId="41" fillId="2" borderId="22" xfId="5" applyFont="1" applyFill="1" applyBorder="1" applyAlignment="1">
      <alignment horizontal="center" vertical="center" wrapText="1"/>
    </xf>
    <xf numFmtId="0" fontId="41" fillId="2" borderId="11" xfId="5" applyFont="1" applyFill="1" applyBorder="1" applyAlignment="1">
      <alignment horizontal="center" vertical="center" wrapText="1"/>
    </xf>
    <xf numFmtId="0" fontId="38" fillId="2" borderId="10" xfId="0" applyFont="1" applyFill="1" applyBorder="1" applyAlignment="1">
      <alignment horizontal="center" vertical="center" wrapText="1"/>
    </xf>
    <xf numFmtId="0" fontId="38" fillId="2" borderId="22" xfId="0" applyFont="1" applyFill="1" applyBorder="1" applyAlignment="1">
      <alignment horizontal="center" vertical="center" wrapText="1"/>
    </xf>
    <xf numFmtId="0" fontId="38" fillId="2" borderId="11" xfId="0" applyFont="1" applyFill="1" applyBorder="1" applyAlignment="1">
      <alignment horizontal="center" vertical="center" wrapText="1"/>
    </xf>
    <xf numFmtId="0" fontId="38" fillId="2" borderId="10" xfId="0" applyFont="1" applyFill="1" applyBorder="1" applyAlignment="1">
      <alignment horizontal="center" vertical="center"/>
    </xf>
    <xf numFmtId="0" fontId="38" fillId="2" borderId="22" xfId="0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166" fontId="58" fillId="2" borderId="29" xfId="0" applyNumberFormat="1" applyFont="1" applyFill="1" applyBorder="1" applyAlignment="1">
      <alignment horizontal="center" vertical="center"/>
    </xf>
    <xf numFmtId="166" fontId="58" fillId="2" borderId="30" xfId="0" applyNumberFormat="1" applyFont="1" applyFill="1" applyBorder="1" applyAlignment="1">
      <alignment horizontal="center" vertical="center"/>
    </xf>
    <xf numFmtId="166" fontId="58" fillId="2" borderId="35" xfId="0" applyNumberFormat="1" applyFont="1" applyFill="1" applyBorder="1" applyAlignment="1">
      <alignment horizontal="center" vertical="center"/>
    </xf>
    <xf numFmtId="164" fontId="17" fillId="2" borderId="0" xfId="0" applyNumberFormat="1" applyFont="1" applyFill="1" applyAlignment="1">
      <alignment horizontal="left" vertical="center" wrapText="1"/>
    </xf>
    <xf numFmtId="166" fontId="58" fillId="2" borderId="10" xfId="0" applyNumberFormat="1" applyFont="1" applyFill="1" applyBorder="1" applyAlignment="1">
      <alignment horizontal="center" vertical="center"/>
    </xf>
    <xf numFmtId="166" fontId="58" fillId="2" borderId="22" xfId="0" applyNumberFormat="1" applyFont="1" applyFill="1" applyBorder="1" applyAlignment="1">
      <alignment horizontal="center" vertical="center"/>
    </xf>
    <xf numFmtId="166" fontId="58" fillId="2" borderId="11" xfId="0" applyNumberFormat="1" applyFont="1" applyFill="1" applyBorder="1" applyAlignment="1">
      <alignment horizontal="center" vertical="center"/>
    </xf>
    <xf numFmtId="166" fontId="58" fillId="2" borderId="36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10" fillId="0" borderId="9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 wrapText="1"/>
    </xf>
    <xf numFmtId="0" fontId="38" fillId="2" borderId="23" xfId="0" applyFont="1" applyFill="1" applyBorder="1" applyAlignment="1">
      <alignment horizontal="center" vertical="center" wrapText="1"/>
    </xf>
    <xf numFmtId="0" fontId="38" fillId="2" borderId="24" xfId="0" applyFont="1" applyFill="1" applyBorder="1" applyAlignment="1">
      <alignment horizontal="center" vertical="center" wrapText="1"/>
    </xf>
    <xf numFmtId="0" fontId="38" fillId="2" borderId="25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19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28" fillId="2" borderId="20" xfId="0" applyFont="1" applyFill="1" applyBorder="1" applyAlignment="1">
      <alignment horizontal="center" vertical="center" wrapText="1"/>
    </xf>
    <xf numFmtId="0" fontId="44" fillId="2" borderId="9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top" wrapText="1"/>
    </xf>
    <xf numFmtId="0" fontId="27" fillId="2" borderId="13" xfId="0" applyFont="1" applyFill="1" applyBorder="1" applyAlignment="1">
      <alignment horizontal="center" vertical="top" wrapText="1"/>
    </xf>
    <xf numFmtId="0" fontId="27" fillId="2" borderId="14" xfId="0" applyFont="1" applyFill="1" applyBorder="1" applyAlignment="1">
      <alignment horizontal="center" vertical="top" wrapText="1"/>
    </xf>
    <xf numFmtId="0" fontId="31" fillId="2" borderId="3" xfId="0" applyFont="1" applyFill="1" applyBorder="1" applyAlignment="1">
      <alignment horizontal="left" vertical="top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29" fillId="2" borderId="10" xfId="0" applyFont="1" applyFill="1" applyBorder="1" applyAlignment="1">
      <alignment horizontal="center" vertical="center" wrapText="1"/>
    </xf>
    <xf numFmtId="0" fontId="29" fillId="2" borderId="22" xfId="0" applyFont="1" applyFill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44" fillId="2" borderId="3" xfId="0" applyFont="1" applyFill="1" applyBorder="1" applyAlignment="1">
      <alignment horizontal="center" vertical="center" wrapText="1"/>
    </xf>
    <xf numFmtId="0" fontId="50" fillId="2" borderId="3" xfId="0" applyFont="1" applyFill="1" applyBorder="1" applyAlignment="1">
      <alignment horizontal="center" vertical="center" wrapText="1"/>
    </xf>
    <xf numFmtId="0" fontId="50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36" fillId="0" borderId="9" xfId="0" applyFont="1" applyBorder="1" applyAlignment="1">
      <alignment horizontal="center" vertical="center" wrapText="1"/>
    </xf>
    <xf numFmtId="168" fontId="28" fillId="0" borderId="9" xfId="0" applyNumberFormat="1" applyFont="1" applyBorder="1" applyAlignment="1">
      <alignment horizontal="center" vertical="center" wrapText="1"/>
    </xf>
    <xf numFmtId="168" fontId="28" fillId="0" borderId="6" xfId="0" applyNumberFormat="1" applyFont="1" applyBorder="1" applyAlignment="1">
      <alignment horizontal="center" vertical="center" wrapText="1"/>
    </xf>
    <xf numFmtId="168" fontId="28" fillId="0" borderId="4" xfId="0" applyNumberFormat="1" applyFont="1" applyBorder="1" applyAlignment="1">
      <alignment horizontal="center" vertical="center" wrapText="1"/>
    </xf>
    <xf numFmtId="2" fontId="36" fillId="0" borderId="5" xfId="0" applyNumberFormat="1" applyFont="1" applyBorder="1" applyAlignment="1">
      <alignment horizontal="center" vertical="center" wrapText="1"/>
    </xf>
    <xf numFmtId="2" fontId="36" fillId="0" borderId="6" xfId="0" applyNumberFormat="1" applyFont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31" fillId="2" borderId="6" xfId="0" applyFont="1" applyFill="1" applyBorder="1" applyAlignment="1">
      <alignment horizontal="center" vertical="center" wrapText="1"/>
    </xf>
    <xf numFmtId="0" fontId="31" fillId="2" borderId="18" xfId="0" applyFont="1" applyFill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7" fillId="0" borderId="6" xfId="0" applyFont="1" applyBorder="1"/>
    <xf numFmtId="168" fontId="49" fillId="0" borderId="5" xfId="0" applyNumberFormat="1" applyFont="1" applyBorder="1" applyAlignment="1">
      <alignment horizontal="center" vertical="center" wrapText="1"/>
    </xf>
    <xf numFmtId="168" fontId="56" fillId="0" borderId="5" xfId="0" applyNumberFormat="1" applyFont="1" applyBorder="1" applyAlignment="1">
      <alignment horizontal="center" vertical="center" wrapText="1"/>
    </xf>
    <xf numFmtId="0" fontId="43" fillId="0" borderId="6" xfId="0" applyFont="1" applyBorder="1"/>
    <xf numFmtId="0" fontId="27" fillId="2" borderId="4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169" fontId="50" fillId="2" borderId="4" xfId="0" applyNumberFormat="1" applyFont="1" applyFill="1" applyBorder="1" applyAlignment="1">
      <alignment horizontal="center" vertical="center" wrapText="1"/>
    </xf>
    <xf numFmtId="0" fontId="52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50" fillId="2" borderId="4" xfId="0" applyFont="1" applyFill="1" applyBorder="1" applyAlignment="1">
      <alignment horizontal="left" vertical="center" wrapText="1"/>
    </xf>
    <xf numFmtId="168" fontId="50" fillId="2" borderId="4" xfId="0" applyNumberFormat="1" applyFont="1" applyFill="1" applyBorder="1" applyAlignment="1">
      <alignment horizontal="center" vertical="center" wrapText="1"/>
    </xf>
    <xf numFmtId="0" fontId="27" fillId="2" borderId="26" xfId="0" applyFont="1" applyFill="1" applyBorder="1" applyAlignment="1">
      <alignment horizontal="left" vertical="center" wrapText="1"/>
    </xf>
    <xf numFmtId="0" fontId="27" fillId="2" borderId="37" xfId="0" applyFont="1" applyFill="1" applyBorder="1" applyAlignment="1">
      <alignment horizontal="left" vertical="center" wrapText="1"/>
    </xf>
    <xf numFmtId="0" fontId="27" fillId="2" borderId="26" xfId="0" applyFont="1" applyFill="1" applyBorder="1" applyAlignment="1">
      <alignment horizontal="center" vertical="center" wrapText="1"/>
    </xf>
    <xf numFmtId="0" fontId="27" fillId="2" borderId="37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51" fillId="2" borderId="4" xfId="0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34" fillId="2" borderId="5" xfId="0" applyFont="1" applyFill="1" applyBorder="1" applyAlignment="1">
      <alignment horizontal="center" vertical="top" wrapText="1"/>
    </xf>
    <xf numFmtId="0" fontId="34" fillId="2" borderId="7" xfId="0" applyFont="1" applyFill="1" applyBorder="1" applyAlignment="1">
      <alignment horizontal="center" vertical="top" wrapText="1"/>
    </xf>
    <xf numFmtId="0" fontId="34" fillId="2" borderId="6" xfId="0" applyFont="1" applyFill="1" applyBorder="1" applyAlignment="1">
      <alignment horizontal="center" vertical="top" wrapText="1"/>
    </xf>
    <xf numFmtId="0" fontId="67" fillId="2" borderId="5" xfId="0" applyFont="1" applyFill="1" applyBorder="1" applyAlignment="1">
      <alignment horizontal="center" vertical="center" wrapText="1"/>
    </xf>
    <xf numFmtId="0" fontId="67" fillId="2" borderId="7" xfId="0" applyFont="1" applyFill="1" applyBorder="1" applyAlignment="1">
      <alignment horizontal="center" vertical="center" wrapText="1"/>
    </xf>
    <xf numFmtId="0" fontId="67" fillId="2" borderId="6" xfId="0" applyFont="1" applyFill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top" wrapText="1"/>
    </xf>
    <xf numFmtId="0" fontId="34" fillId="0" borderId="7" xfId="0" applyFont="1" applyBorder="1" applyAlignment="1">
      <alignment horizontal="center" vertical="top" wrapText="1"/>
    </xf>
    <xf numFmtId="0" fontId="34" fillId="0" borderId="6" xfId="0" applyFont="1" applyBorder="1" applyAlignment="1">
      <alignment horizontal="center" vertical="top" wrapText="1"/>
    </xf>
    <xf numFmtId="0" fontId="53" fillId="0" borderId="5" xfId="0" applyFont="1" applyBorder="1" applyAlignment="1">
      <alignment horizontal="center" vertical="center" wrapText="1"/>
    </xf>
    <xf numFmtId="0" fontId="67" fillId="0" borderId="7" xfId="0" applyFont="1" applyBorder="1" applyAlignment="1">
      <alignment horizontal="center" vertical="center" wrapText="1"/>
    </xf>
    <xf numFmtId="0" fontId="67" fillId="0" borderId="6" xfId="0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34" fillId="0" borderId="4" xfId="0" applyFont="1" applyBorder="1" applyAlignment="1">
      <alignment horizontal="center" vertical="top" wrapText="1"/>
    </xf>
    <xf numFmtId="0" fontId="28" fillId="0" borderId="4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55" fillId="0" borderId="4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</cellXfs>
  <cellStyles count="26">
    <cellStyle name="Normal" xfId="0" builtinId="0"/>
    <cellStyle name="Normal 10" xfId="1"/>
    <cellStyle name="Normal 10 2" xfId="15"/>
    <cellStyle name="Normal 11" xfId="9"/>
    <cellStyle name="Normal 11 2" xfId="23"/>
    <cellStyle name="Normal 12" xfId="11"/>
    <cellStyle name="Normal 13" xfId="25"/>
    <cellStyle name="Normal 2" xfId="2"/>
    <cellStyle name="Normal 2 2" xfId="16"/>
    <cellStyle name="Normal 3" xfId="6"/>
    <cellStyle name="Normal 3 2" xfId="12"/>
    <cellStyle name="Normal 3 3" xfId="20"/>
    <cellStyle name="Normal 4" xfId="5"/>
    <cellStyle name="Normal 4 2" xfId="13"/>
    <cellStyle name="Normal 4 3" xfId="19"/>
    <cellStyle name="Normal 5" xfId="8"/>
    <cellStyle name="Normal 5 2" xfId="22"/>
    <cellStyle name="Normal 6" xfId="7"/>
    <cellStyle name="Normal 6 2" xfId="14"/>
    <cellStyle name="Normal 6 3" xfId="21"/>
    <cellStyle name="Normal 7" xfId="4"/>
    <cellStyle name="Normal 7 2" xfId="18"/>
    <cellStyle name="Normal 8" xfId="10"/>
    <cellStyle name="Normal 8 2" xfId="24"/>
    <cellStyle name="Normal 9" xfId="3"/>
    <cellStyle name="Normal 9 2" xfId="1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zoomScale="70" zoomScaleNormal="70" zoomScaleSheetLayoutView="70" workbookViewId="0">
      <selection activeCell="G42" sqref="G42"/>
    </sheetView>
  </sheetViews>
  <sheetFormatPr defaultColWidth="9" defaultRowHeight="15"/>
  <cols>
    <col min="1" max="1" width="7.7109375" customWidth="1"/>
    <col min="2" max="2" width="22" customWidth="1"/>
    <col min="3" max="3" width="16.28515625" customWidth="1"/>
    <col min="4" max="4" width="30.28515625" customWidth="1"/>
    <col min="5" max="5" width="13.28515625" customWidth="1"/>
    <col min="6" max="6" width="23.28515625" customWidth="1"/>
    <col min="7" max="7" width="21.85546875" customWidth="1"/>
    <col min="8" max="8" width="17.140625" customWidth="1"/>
    <col min="9" max="9" width="23" customWidth="1"/>
    <col min="10" max="10" width="27.5703125" customWidth="1"/>
    <col min="11" max="11" width="0.140625" hidden="1" customWidth="1"/>
    <col min="12" max="12" width="4.140625" hidden="1" customWidth="1"/>
    <col min="13" max="13" width="9" hidden="1" customWidth="1"/>
    <col min="14" max="14" width="4.7109375" hidden="1" customWidth="1"/>
  </cols>
  <sheetData>
    <row r="1" spans="1:17" ht="36.75" customHeight="1">
      <c r="A1" s="159" t="s">
        <v>0</v>
      </c>
      <c r="B1" s="160"/>
      <c r="C1" s="160"/>
      <c r="D1" s="160"/>
      <c r="E1" s="160"/>
      <c r="F1" s="160"/>
      <c r="G1" s="160"/>
      <c r="H1" s="160"/>
      <c r="I1" s="160"/>
      <c r="J1" s="161"/>
    </row>
    <row r="2" spans="1:17" s="10" customFormat="1" ht="35.25" customHeight="1">
      <c r="A2" s="162" t="s">
        <v>191</v>
      </c>
      <c r="B2" s="163"/>
      <c r="C2" s="163"/>
      <c r="D2" s="163"/>
      <c r="E2" s="163"/>
      <c r="F2" s="163"/>
      <c r="G2" s="163"/>
      <c r="H2" s="163"/>
      <c r="I2" s="163"/>
      <c r="J2" s="164"/>
      <c r="K2" s="19"/>
      <c r="L2" s="20" t="s">
        <v>1</v>
      </c>
      <c r="M2" s="19"/>
      <c r="N2" s="20" t="s">
        <v>1</v>
      </c>
      <c r="O2" s="20" t="s">
        <v>1</v>
      </c>
      <c r="P2" s="19"/>
      <c r="Q2" s="19"/>
    </row>
    <row r="3" spans="1:17" s="11" customFormat="1" ht="108">
      <c r="A3" s="37" t="s">
        <v>2</v>
      </c>
      <c r="B3" s="37" t="s">
        <v>3</v>
      </c>
      <c r="C3" s="37" t="s">
        <v>4</v>
      </c>
      <c r="D3" s="37" t="s">
        <v>5</v>
      </c>
      <c r="E3" s="37" t="s">
        <v>6</v>
      </c>
      <c r="F3" s="37" t="s">
        <v>174</v>
      </c>
      <c r="G3" s="37" t="s">
        <v>7</v>
      </c>
      <c r="H3" s="37" t="s">
        <v>8</v>
      </c>
      <c r="I3" s="37" t="s">
        <v>9</v>
      </c>
      <c r="J3" s="38" t="s">
        <v>176</v>
      </c>
    </row>
    <row r="4" spans="1:17" s="12" customFormat="1" ht="18.75" customHeight="1">
      <c r="A4" s="39">
        <v>1</v>
      </c>
      <c r="B4" s="39">
        <v>2</v>
      </c>
      <c r="C4" s="39">
        <v>3</v>
      </c>
      <c r="D4" s="39">
        <v>4</v>
      </c>
      <c r="E4" s="40">
        <v>5</v>
      </c>
      <c r="F4" s="40">
        <v>6</v>
      </c>
      <c r="G4" s="40">
        <v>7</v>
      </c>
      <c r="H4" s="39">
        <v>8</v>
      </c>
      <c r="I4" s="41">
        <v>9</v>
      </c>
      <c r="J4" s="39">
        <v>10</v>
      </c>
    </row>
    <row r="5" spans="1:17" s="12" customFormat="1" ht="45" customHeight="1">
      <c r="A5" s="119">
        <v>1</v>
      </c>
      <c r="B5" s="125" t="s">
        <v>10</v>
      </c>
      <c r="C5" s="125" t="s">
        <v>11</v>
      </c>
      <c r="D5" s="76" t="s">
        <v>12</v>
      </c>
      <c r="E5" s="76" t="s">
        <v>13</v>
      </c>
      <c r="F5" s="102" t="s">
        <v>205</v>
      </c>
      <c r="G5" s="102" t="s">
        <v>205</v>
      </c>
      <c r="H5" s="165">
        <v>1533.9</v>
      </c>
      <c r="I5" s="42" t="s">
        <v>14</v>
      </c>
      <c r="J5" s="43"/>
    </row>
    <row r="6" spans="1:17" s="12" customFormat="1" ht="45" customHeight="1">
      <c r="A6" s="119"/>
      <c r="B6" s="126"/>
      <c r="C6" s="135"/>
      <c r="D6" s="77" t="s">
        <v>15</v>
      </c>
      <c r="E6" s="77" t="s">
        <v>13</v>
      </c>
      <c r="F6" s="117">
        <v>5.4</v>
      </c>
      <c r="G6" s="117">
        <v>391.8</v>
      </c>
      <c r="H6" s="166"/>
      <c r="I6" s="139" t="s">
        <v>16</v>
      </c>
      <c r="J6" s="44"/>
    </row>
    <row r="7" spans="1:17" s="12" customFormat="1" ht="45" customHeight="1">
      <c r="A7" s="119"/>
      <c r="B7" s="126"/>
      <c r="C7" s="135"/>
      <c r="D7" s="77" t="s">
        <v>17</v>
      </c>
      <c r="E7" s="77" t="s">
        <v>13</v>
      </c>
      <c r="F7" s="117">
        <v>14.4</v>
      </c>
      <c r="G7" s="117">
        <v>376.8</v>
      </c>
      <c r="H7" s="166"/>
      <c r="I7" s="140"/>
      <c r="J7" s="45"/>
    </row>
    <row r="8" spans="1:17" s="12" customFormat="1" ht="39.75" customHeight="1">
      <c r="A8" s="119"/>
      <c r="B8" s="127"/>
      <c r="C8" s="136"/>
      <c r="D8" s="77" t="s">
        <v>18</v>
      </c>
      <c r="E8" s="77" t="s">
        <v>13</v>
      </c>
      <c r="F8" s="117">
        <v>0</v>
      </c>
      <c r="G8" s="117">
        <v>517.1</v>
      </c>
      <c r="H8" s="167"/>
      <c r="I8" s="141"/>
      <c r="J8" s="116"/>
      <c r="K8" s="21"/>
      <c r="L8" s="21"/>
    </row>
    <row r="9" spans="1:17" ht="45" customHeight="1">
      <c r="A9" s="120">
        <v>2</v>
      </c>
      <c r="B9" s="128" t="s">
        <v>19</v>
      </c>
      <c r="C9" s="137" t="s">
        <v>20</v>
      </c>
      <c r="D9" s="46" t="s">
        <v>21</v>
      </c>
      <c r="E9" s="47" t="s">
        <v>13</v>
      </c>
      <c r="F9" s="117">
        <v>1</v>
      </c>
      <c r="G9" s="117">
        <v>363</v>
      </c>
      <c r="H9" s="165">
        <v>1449.9</v>
      </c>
      <c r="I9" s="145" t="s">
        <v>22</v>
      </c>
      <c r="J9" s="49"/>
      <c r="K9" s="158" t="s">
        <v>23</v>
      </c>
      <c r="L9" s="157"/>
      <c r="M9" s="157"/>
      <c r="N9" s="157"/>
      <c r="O9" s="24"/>
      <c r="P9" s="25"/>
    </row>
    <row r="10" spans="1:17" ht="47.25" customHeight="1">
      <c r="A10" s="121"/>
      <c r="B10" s="128"/>
      <c r="C10" s="138"/>
      <c r="D10" s="50" t="s">
        <v>24</v>
      </c>
      <c r="E10" s="51" t="s">
        <v>13</v>
      </c>
      <c r="F10" s="117">
        <v>13</v>
      </c>
      <c r="G10" s="117">
        <v>305</v>
      </c>
      <c r="H10" s="166"/>
      <c r="I10" s="145"/>
      <c r="J10" s="49"/>
      <c r="K10" s="157"/>
      <c r="L10" s="157"/>
      <c r="M10" s="157"/>
      <c r="N10" s="157"/>
      <c r="O10" s="24"/>
      <c r="P10" s="26"/>
    </row>
    <row r="11" spans="1:17" ht="48.75" customHeight="1">
      <c r="A11" s="121"/>
      <c r="B11" s="129"/>
      <c r="C11" s="138"/>
      <c r="D11" s="50" t="s">
        <v>25</v>
      </c>
      <c r="E11" s="51" t="s">
        <v>13</v>
      </c>
      <c r="F11" s="117">
        <v>0</v>
      </c>
      <c r="G11" s="117">
        <v>152</v>
      </c>
      <c r="H11" s="166"/>
      <c r="I11" s="145"/>
      <c r="J11" s="49"/>
      <c r="K11" s="157"/>
      <c r="L11" s="157"/>
      <c r="M11" s="157"/>
      <c r="N11" s="157"/>
      <c r="O11" s="24"/>
      <c r="P11" s="26"/>
    </row>
    <row r="12" spans="1:17" ht="48" customHeight="1">
      <c r="A12" s="121"/>
      <c r="B12" s="50" t="s">
        <v>26</v>
      </c>
      <c r="C12" s="138"/>
      <c r="D12" s="50" t="s">
        <v>27</v>
      </c>
      <c r="E12" s="51" t="s">
        <v>13</v>
      </c>
      <c r="F12" s="117">
        <v>0</v>
      </c>
      <c r="G12" s="117">
        <v>234.2</v>
      </c>
      <c r="H12" s="166"/>
      <c r="I12" s="145"/>
      <c r="J12" s="49"/>
      <c r="K12" s="157"/>
      <c r="L12" s="157"/>
      <c r="M12" s="157"/>
      <c r="N12" s="157"/>
      <c r="O12" s="24"/>
      <c r="P12" s="26"/>
    </row>
    <row r="13" spans="1:17" ht="40.5" customHeight="1">
      <c r="A13" s="121"/>
      <c r="B13" s="130" t="s">
        <v>28</v>
      </c>
      <c r="C13" s="138"/>
      <c r="D13" s="50" t="s">
        <v>175</v>
      </c>
      <c r="E13" s="51" t="s">
        <v>13</v>
      </c>
      <c r="F13" s="117">
        <v>4.5</v>
      </c>
      <c r="G13" s="117">
        <v>241.5</v>
      </c>
      <c r="H13" s="166"/>
      <c r="I13" s="145"/>
      <c r="J13" s="49"/>
      <c r="K13" s="157"/>
      <c r="L13" s="157"/>
      <c r="M13" s="157"/>
      <c r="N13" s="157"/>
      <c r="O13" s="24"/>
      <c r="P13" s="26"/>
    </row>
    <row r="14" spans="1:17" ht="42" customHeight="1">
      <c r="A14" s="121"/>
      <c r="B14" s="129"/>
      <c r="C14" s="138"/>
      <c r="D14" s="50" t="s">
        <v>29</v>
      </c>
      <c r="E14" s="51" t="s">
        <v>13</v>
      </c>
      <c r="F14" s="117">
        <v>0</v>
      </c>
      <c r="G14" s="117">
        <v>48.5</v>
      </c>
      <c r="H14" s="166"/>
      <c r="I14" s="145"/>
      <c r="J14" s="49"/>
      <c r="K14" s="157"/>
      <c r="L14" s="157"/>
      <c r="M14" s="157"/>
      <c r="N14" s="157"/>
      <c r="O14" s="24"/>
      <c r="P14" s="26"/>
    </row>
    <row r="15" spans="1:17" ht="40.5" customHeight="1">
      <c r="A15" s="121"/>
      <c r="B15" s="130" t="s">
        <v>30</v>
      </c>
      <c r="C15" s="138"/>
      <c r="D15" s="50" t="s">
        <v>31</v>
      </c>
      <c r="E15" s="51" t="s">
        <v>13</v>
      </c>
      <c r="F15" s="117">
        <v>12.2</v>
      </c>
      <c r="G15" s="117">
        <v>257.5</v>
      </c>
      <c r="H15" s="166"/>
      <c r="I15" s="145"/>
      <c r="J15" s="49"/>
      <c r="K15" s="157"/>
      <c r="L15" s="157"/>
      <c r="M15" s="157"/>
      <c r="N15" s="157"/>
      <c r="O15" s="24"/>
      <c r="P15" s="26"/>
    </row>
    <row r="16" spans="1:17" ht="39" customHeight="1">
      <c r="A16" s="121"/>
      <c r="B16" s="128"/>
      <c r="C16" s="138"/>
      <c r="D16" s="50" t="s">
        <v>32</v>
      </c>
      <c r="E16" s="51" t="s">
        <v>13</v>
      </c>
      <c r="F16" s="117">
        <v>21</v>
      </c>
      <c r="G16" s="117">
        <v>277</v>
      </c>
      <c r="H16" s="166"/>
      <c r="I16" s="145"/>
      <c r="J16" s="49"/>
      <c r="K16" s="157"/>
      <c r="L16" s="157"/>
      <c r="M16" s="157"/>
      <c r="N16" s="157"/>
      <c r="O16" s="24"/>
      <c r="P16" s="26"/>
    </row>
    <row r="17" spans="1:17" ht="42" customHeight="1">
      <c r="A17" s="121"/>
      <c r="B17" s="128"/>
      <c r="C17" s="138"/>
      <c r="D17" s="50" t="s">
        <v>33</v>
      </c>
      <c r="E17" s="52" t="s">
        <v>13</v>
      </c>
      <c r="F17" s="117">
        <v>8.4</v>
      </c>
      <c r="G17" s="117">
        <v>251.5</v>
      </c>
      <c r="H17" s="166"/>
      <c r="I17" s="145"/>
      <c r="J17" s="49"/>
      <c r="K17" s="157"/>
      <c r="L17" s="157"/>
      <c r="M17" s="157"/>
      <c r="N17" s="157"/>
      <c r="O17" s="24"/>
      <c r="P17" s="26"/>
    </row>
    <row r="18" spans="1:17" ht="46.5" customHeight="1">
      <c r="A18" s="121"/>
      <c r="B18" s="129"/>
      <c r="C18" s="138"/>
      <c r="D18" s="53" t="s">
        <v>34</v>
      </c>
      <c r="E18" s="52" t="s">
        <v>13</v>
      </c>
      <c r="F18" s="117">
        <v>6.4</v>
      </c>
      <c r="G18" s="117">
        <v>350.8</v>
      </c>
      <c r="H18" s="166"/>
      <c r="I18" s="146"/>
      <c r="J18" s="49"/>
      <c r="K18" s="157"/>
      <c r="L18" s="157"/>
      <c r="M18" s="157"/>
      <c r="N18" s="157"/>
      <c r="O18" s="24"/>
      <c r="P18" s="26"/>
    </row>
    <row r="19" spans="1:17" ht="46.5" customHeight="1">
      <c r="A19" s="121"/>
      <c r="B19" s="131" t="s">
        <v>19</v>
      </c>
      <c r="C19" s="138"/>
      <c r="D19" s="54" t="s">
        <v>35</v>
      </c>
      <c r="E19" s="52" t="s">
        <v>13</v>
      </c>
      <c r="F19" s="117">
        <v>10</v>
      </c>
      <c r="G19" s="117">
        <v>326</v>
      </c>
      <c r="H19" s="166"/>
      <c r="I19" s="147" t="s">
        <v>178</v>
      </c>
      <c r="J19" s="49"/>
      <c r="K19" s="157" t="s">
        <v>36</v>
      </c>
      <c r="L19" s="157"/>
      <c r="M19" s="157"/>
      <c r="N19" s="157"/>
      <c r="O19" s="24"/>
      <c r="P19" s="27"/>
      <c r="Q19" s="27"/>
    </row>
    <row r="20" spans="1:17" ht="48" customHeight="1">
      <c r="A20" s="121"/>
      <c r="B20" s="132"/>
      <c r="C20" s="138"/>
      <c r="D20" s="54" t="s">
        <v>37</v>
      </c>
      <c r="E20" s="52" t="s">
        <v>13</v>
      </c>
      <c r="F20" s="117">
        <v>0</v>
      </c>
      <c r="G20" s="117">
        <v>196</v>
      </c>
      <c r="H20" s="166"/>
      <c r="I20" s="145"/>
      <c r="J20" s="56"/>
      <c r="K20" s="157"/>
      <c r="L20" s="157"/>
      <c r="M20" s="157"/>
      <c r="N20" s="157"/>
      <c r="O20" s="24"/>
      <c r="P20" s="27"/>
      <c r="Q20" s="27"/>
    </row>
    <row r="21" spans="1:17" ht="45" customHeight="1">
      <c r="A21" s="121"/>
      <c r="B21" s="132"/>
      <c r="C21" s="138"/>
      <c r="D21" s="54" t="s">
        <v>38</v>
      </c>
      <c r="E21" s="52" t="s">
        <v>13</v>
      </c>
      <c r="F21" s="117">
        <v>0</v>
      </c>
      <c r="G21" s="117">
        <v>296</v>
      </c>
      <c r="H21" s="166"/>
      <c r="I21" s="145"/>
      <c r="J21" s="49" t="s">
        <v>39</v>
      </c>
      <c r="K21" s="157"/>
      <c r="L21" s="157"/>
      <c r="M21" s="157"/>
      <c r="N21" s="157"/>
      <c r="O21" s="24"/>
      <c r="P21" s="27"/>
      <c r="Q21" s="27"/>
    </row>
    <row r="22" spans="1:17" ht="39" customHeight="1">
      <c r="A22" s="121"/>
      <c r="B22" s="133"/>
      <c r="C22" s="138"/>
      <c r="D22" s="54" t="s">
        <v>40</v>
      </c>
      <c r="E22" s="52" t="s">
        <v>13</v>
      </c>
      <c r="F22" s="117">
        <v>5</v>
      </c>
      <c r="G22" s="117">
        <v>407</v>
      </c>
      <c r="H22" s="166"/>
      <c r="I22" s="145"/>
      <c r="J22" s="49"/>
      <c r="K22" s="157"/>
      <c r="L22" s="157"/>
      <c r="M22" s="157"/>
      <c r="N22" s="157"/>
      <c r="O22" s="24"/>
      <c r="P22" s="27"/>
      <c r="Q22" s="27"/>
    </row>
    <row r="23" spans="1:17" ht="39.75" customHeight="1">
      <c r="A23" s="121"/>
      <c r="B23" s="55" t="s">
        <v>10</v>
      </c>
      <c r="C23" s="138"/>
      <c r="D23" s="54" t="s">
        <v>41</v>
      </c>
      <c r="E23" s="56" t="s">
        <v>13</v>
      </c>
      <c r="F23" s="117">
        <v>2</v>
      </c>
      <c r="G23" s="117">
        <v>371</v>
      </c>
      <c r="H23" s="166"/>
      <c r="I23" s="145"/>
      <c r="J23" s="56"/>
      <c r="K23" s="157"/>
      <c r="L23" s="157"/>
      <c r="M23" s="157"/>
      <c r="N23" s="157"/>
      <c r="O23" s="24"/>
    </row>
    <row r="24" spans="1:17" ht="35.25" customHeight="1">
      <c r="A24" s="121"/>
      <c r="B24" s="50" t="s">
        <v>28</v>
      </c>
      <c r="C24" s="138"/>
      <c r="D24" s="54" t="s">
        <v>42</v>
      </c>
      <c r="E24" s="56" t="s">
        <v>13</v>
      </c>
      <c r="F24" s="117">
        <v>2</v>
      </c>
      <c r="G24" s="117">
        <v>266.5</v>
      </c>
      <c r="H24" s="166"/>
      <c r="I24" s="146"/>
      <c r="J24" s="56"/>
      <c r="K24" s="157"/>
      <c r="L24" s="157"/>
      <c r="M24" s="157"/>
      <c r="N24" s="157"/>
      <c r="O24" s="24"/>
    </row>
    <row r="25" spans="1:17" ht="42" customHeight="1">
      <c r="A25" s="121"/>
      <c r="B25" s="57" t="s">
        <v>10</v>
      </c>
      <c r="C25" s="138"/>
      <c r="D25" s="57" t="s">
        <v>43</v>
      </c>
      <c r="E25" s="47" t="s">
        <v>13</v>
      </c>
      <c r="F25" s="117">
        <v>0</v>
      </c>
      <c r="G25" s="117">
        <v>288</v>
      </c>
      <c r="H25" s="166"/>
      <c r="I25" s="147" t="s">
        <v>44</v>
      </c>
      <c r="J25" s="58"/>
      <c r="K25" s="157" t="s">
        <v>45</v>
      </c>
      <c r="L25" s="157"/>
      <c r="M25" s="157"/>
      <c r="N25" s="157"/>
      <c r="O25" s="24"/>
    </row>
    <row r="26" spans="1:17" ht="45" customHeight="1">
      <c r="A26" s="121"/>
      <c r="B26" s="134" t="s">
        <v>28</v>
      </c>
      <c r="C26" s="138"/>
      <c r="D26" s="54" t="s">
        <v>46</v>
      </c>
      <c r="E26" s="51" t="s">
        <v>13</v>
      </c>
      <c r="F26" s="117">
        <v>2</v>
      </c>
      <c r="G26" s="117">
        <v>405</v>
      </c>
      <c r="H26" s="166"/>
      <c r="I26" s="148"/>
      <c r="J26" s="59"/>
      <c r="K26" s="157"/>
      <c r="L26" s="157"/>
      <c r="M26" s="157"/>
      <c r="N26" s="157"/>
      <c r="O26" s="24"/>
    </row>
    <row r="27" spans="1:17" ht="42.75" customHeight="1">
      <c r="A27" s="121"/>
      <c r="B27" s="128"/>
      <c r="C27" s="138"/>
      <c r="D27" s="54" t="s">
        <v>47</v>
      </c>
      <c r="E27" s="51" t="s">
        <v>13</v>
      </c>
      <c r="F27" s="117">
        <v>7</v>
      </c>
      <c r="G27" s="117">
        <v>252</v>
      </c>
      <c r="H27" s="166"/>
      <c r="I27" s="148"/>
      <c r="J27" s="58"/>
      <c r="K27" s="157"/>
      <c r="L27" s="157"/>
      <c r="M27" s="157"/>
      <c r="N27" s="157"/>
      <c r="O27" s="24"/>
    </row>
    <row r="28" spans="1:17" ht="38.25" customHeight="1">
      <c r="A28" s="121"/>
      <c r="B28" s="129"/>
      <c r="C28" s="138"/>
      <c r="D28" s="54" t="s">
        <v>48</v>
      </c>
      <c r="E28" s="51" t="s">
        <v>13</v>
      </c>
      <c r="F28" s="117">
        <v>19</v>
      </c>
      <c r="G28" s="117">
        <v>230</v>
      </c>
      <c r="H28" s="166"/>
      <c r="I28" s="148"/>
      <c r="J28" s="58"/>
      <c r="K28" s="157"/>
      <c r="L28" s="157"/>
      <c r="M28" s="157"/>
      <c r="N28" s="157"/>
      <c r="O28" s="24"/>
    </row>
    <row r="29" spans="1:17" ht="48.75" customHeight="1">
      <c r="A29" s="121"/>
      <c r="B29" s="50" t="s">
        <v>19</v>
      </c>
      <c r="C29" s="138"/>
      <c r="D29" s="57" t="s">
        <v>49</v>
      </c>
      <c r="E29" s="51" t="s">
        <v>13</v>
      </c>
      <c r="F29" s="117">
        <v>0</v>
      </c>
      <c r="G29" s="117">
        <v>247</v>
      </c>
      <c r="H29" s="167"/>
      <c r="I29" s="148"/>
      <c r="J29" s="58"/>
      <c r="K29" s="157"/>
      <c r="L29" s="157"/>
      <c r="M29" s="157"/>
      <c r="N29" s="157"/>
      <c r="O29" s="24"/>
    </row>
    <row r="30" spans="1:17" s="13" customFormat="1" ht="45" customHeight="1">
      <c r="A30" s="60">
        <v>3</v>
      </c>
      <c r="B30" s="56" t="s">
        <v>30</v>
      </c>
      <c r="C30" s="56" t="s">
        <v>50</v>
      </c>
      <c r="D30" s="56" t="s">
        <v>51</v>
      </c>
      <c r="E30" s="56" t="s">
        <v>13</v>
      </c>
      <c r="F30" s="102">
        <v>0</v>
      </c>
      <c r="G30" s="102">
        <v>551</v>
      </c>
      <c r="H30" s="103">
        <v>1569.3</v>
      </c>
      <c r="I30" s="61" t="s">
        <v>52</v>
      </c>
      <c r="J30" s="62"/>
      <c r="K30" s="22"/>
      <c r="L30" s="22"/>
    </row>
    <row r="31" spans="1:17" ht="45" customHeight="1">
      <c r="A31" s="122">
        <v>4</v>
      </c>
      <c r="B31" s="56" t="s">
        <v>53</v>
      </c>
      <c r="C31" s="130" t="s">
        <v>54</v>
      </c>
      <c r="D31" s="56" t="s">
        <v>55</v>
      </c>
      <c r="E31" s="56" t="s">
        <v>13</v>
      </c>
      <c r="F31" s="117">
        <v>0</v>
      </c>
      <c r="G31" s="117">
        <v>505.8</v>
      </c>
      <c r="H31" s="169">
        <v>1788.7</v>
      </c>
      <c r="I31" s="149" t="s">
        <v>56</v>
      </c>
      <c r="J31" s="49"/>
      <c r="K31" s="23" t="s">
        <v>57</v>
      </c>
      <c r="L31" s="23" t="s">
        <v>57</v>
      </c>
      <c r="M31" s="23" t="s">
        <v>57</v>
      </c>
      <c r="N31" s="23" t="s">
        <v>57</v>
      </c>
    </row>
    <row r="32" spans="1:17" ht="45" customHeight="1">
      <c r="A32" s="123"/>
      <c r="B32" s="56" t="s">
        <v>30</v>
      </c>
      <c r="C32" s="128"/>
      <c r="D32" s="56" t="s">
        <v>59</v>
      </c>
      <c r="E32" s="56" t="s">
        <v>13</v>
      </c>
      <c r="F32" s="117">
        <v>0</v>
      </c>
      <c r="G32" s="117">
        <v>431.1</v>
      </c>
      <c r="H32" s="170"/>
      <c r="I32" s="150"/>
      <c r="J32" s="49"/>
      <c r="K32" s="22"/>
      <c r="L32" s="22"/>
    </row>
    <row r="33" spans="1:20" ht="45" customHeight="1">
      <c r="A33" s="123"/>
      <c r="B33" s="56" t="s">
        <v>58</v>
      </c>
      <c r="C33" s="128"/>
      <c r="D33" s="56" t="s">
        <v>61</v>
      </c>
      <c r="E33" s="56" t="s">
        <v>13</v>
      </c>
      <c r="F33" s="117">
        <v>0</v>
      </c>
      <c r="G33" s="117">
        <v>258.3</v>
      </c>
      <c r="H33" s="170"/>
      <c r="I33" s="150"/>
      <c r="J33" s="63"/>
      <c r="K33" s="22"/>
      <c r="L33" s="22"/>
      <c r="T33" s="28"/>
    </row>
    <row r="34" spans="1:20" ht="45" customHeight="1">
      <c r="A34" s="123"/>
      <c r="B34" s="56" t="s">
        <v>60</v>
      </c>
      <c r="C34" s="128"/>
      <c r="D34" s="56" t="s">
        <v>62</v>
      </c>
      <c r="E34" s="56" t="s">
        <v>13</v>
      </c>
      <c r="F34" s="117">
        <v>0</v>
      </c>
      <c r="G34" s="117">
        <v>395.6</v>
      </c>
      <c r="H34" s="170"/>
      <c r="I34" s="151"/>
      <c r="J34" s="49"/>
      <c r="K34" s="22"/>
      <c r="L34" s="22"/>
      <c r="T34" s="28"/>
    </row>
    <row r="35" spans="1:20" ht="45" customHeight="1">
      <c r="A35" s="123"/>
      <c r="B35" s="65" t="s">
        <v>63</v>
      </c>
      <c r="C35" s="128"/>
      <c r="D35" s="56" t="s">
        <v>64</v>
      </c>
      <c r="E35" s="56" t="s">
        <v>13</v>
      </c>
      <c r="F35" s="117">
        <v>0</v>
      </c>
      <c r="G35" s="117">
        <v>564.88</v>
      </c>
      <c r="H35" s="170"/>
      <c r="I35" s="152" t="s">
        <v>65</v>
      </c>
      <c r="J35" s="66"/>
      <c r="K35" s="22"/>
      <c r="L35" s="22"/>
      <c r="T35" s="28"/>
    </row>
    <row r="36" spans="1:20" ht="45" customHeight="1">
      <c r="A36" s="124"/>
      <c r="B36" s="65" t="s">
        <v>63</v>
      </c>
      <c r="C36" s="129"/>
      <c r="D36" s="64" t="s">
        <v>66</v>
      </c>
      <c r="E36" s="56" t="s">
        <v>13</v>
      </c>
      <c r="F36" s="117">
        <v>0</v>
      </c>
      <c r="G36" s="117">
        <v>584</v>
      </c>
      <c r="H36" s="171"/>
      <c r="I36" s="153"/>
      <c r="J36" s="66"/>
      <c r="K36" s="22"/>
      <c r="L36" s="22"/>
    </row>
    <row r="37" spans="1:20" ht="45" customHeight="1">
      <c r="A37" s="67"/>
      <c r="B37" s="64" t="s">
        <v>67</v>
      </c>
      <c r="C37" s="68"/>
      <c r="D37" s="64" t="s">
        <v>68</v>
      </c>
      <c r="E37" s="56" t="s">
        <v>13</v>
      </c>
      <c r="F37" s="117">
        <v>0</v>
      </c>
      <c r="G37" s="117">
        <v>576</v>
      </c>
      <c r="H37" s="172">
        <v>1569.3</v>
      </c>
      <c r="I37" s="154"/>
      <c r="J37" s="66"/>
      <c r="K37" s="22"/>
      <c r="L37" s="22"/>
    </row>
    <row r="38" spans="1:20" s="6" customFormat="1" ht="45" customHeight="1">
      <c r="A38" s="123"/>
      <c r="B38" s="64" t="s">
        <v>53</v>
      </c>
      <c r="C38" s="128" t="s">
        <v>177</v>
      </c>
      <c r="D38" s="105" t="s">
        <v>69</v>
      </c>
      <c r="E38" s="69" t="s">
        <v>13</v>
      </c>
      <c r="F38" s="117">
        <v>0</v>
      </c>
      <c r="G38" s="117">
        <v>638</v>
      </c>
      <c r="H38" s="173"/>
      <c r="I38" s="61" t="s">
        <v>70</v>
      </c>
      <c r="J38" s="111"/>
      <c r="K38" s="32"/>
      <c r="L38" s="32"/>
    </row>
    <row r="39" spans="1:20" ht="45" customHeight="1">
      <c r="A39" s="123"/>
      <c r="B39" s="70" t="s">
        <v>170</v>
      </c>
      <c r="C39" s="128"/>
      <c r="D39" s="70" t="s">
        <v>71</v>
      </c>
      <c r="E39" s="56" t="s">
        <v>13</v>
      </c>
      <c r="F39" s="117">
        <v>0</v>
      </c>
      <c r="G39" s="117">
        <v>308.89999999999998</v>
      </c>
      <c r="H39" s="173"/>
      <c r="I39" s="155" t="s">
        <v>72</v>
      </c>
      <c r="J39" s="71"/>
      <c r="K39" s="22"/>
      <c r="L39" s="22"/>
    </row>
    <row r="40" spans="1:20" ht="45" customHeight="1">
      <c r="A40" s="123"/>
      <c r="B40" s="70" t="s">
        <v>171</v>
      </c>
      <c r="C40" s="128"/>
      <c r="D40" s="70" t="s">
        <v>73</v>
      </c>
      <c r="E40" s="56" t="s">
        <v>13</v>
      </c>
      <c r="F40" s="117">
        <v>4</v>
      </c>
      <c r="G40" s="117">
        <v>334</v>
      </c>
      <c r="H40" s="173"/>
      <c r="I40" s="156"/>
      <c r="J40" s="72"/>
      <c r="K40" s="22"/>
      <c r="L40" s="22"/>
      <c r="Q40" s="6"/>
    </row>
    <row r="41" spans="1:20" ht="45" customHeight="1">
      <c r="A41" s="123"/>
      <c r="B41" s="70" t="s">
        <v>172</v>
      </c>
      <c r="C41" s="128"/>
      <c r="D41" s="70" t="s">
        <v>74</v>
      </c>
      <c r="E41" s="56" t="s">
        <v>13</v>
      </c>
      <c r="F41" s="117">
        <v>0</v>
      </c>
      <c r="G41" s="117">
        <v>369</v>
      </c>
      <c r="H41" s="173"/>
      <c r="I41" s="156"/>
      <c r="J41" s="73"/>
      <c r="K41" s="22"/>
      <c r="L41" s="22"/>
    </row>
    <row r="42" spans="1:20" ht="45" customHeight="1">
      <c r="A42" s="123"/>
      <c r="B42" s="70" t="s">
        <v>172</v>
      </c>
      <c r="C42" s="128"/>
      <c r="D42" s="74" t="s">
        <v>75</v>
      </c>
      <c r="E42" s="56" t="s">
        <v>13</v>
      </c>
      <c r="F42" s="117">
        <v>0</v>
      </c>
      <c r="G42" s="117">
        <v>440</v>
      </c>
      <c r="H42" s="173"/>
      <c r="I42" s="156"/>
      <c r="J42" s="73"/>
      <c r="K42" s="22"/>
      <c r="L42" s="22"/>
    </row>
    <row r="43" spans="1:20" ht="45" customHeight="1">
      <c r="A43" s="123"/>
      <c r="B43" s="74" t="s">
        <v>173</v>
      </c>
      <c r="C43" s="128"/>
      <c r="D43" s="70" t="s">
        <v>76</v>
      </c>
      <c r="E43" s="56" t="s">
        <v>13</v>
      </c>
      <c r="F43" s="117">
        <v>0</v>
      </c>
      <c r="G43" s="117">
        <v>440.4</v>
      </c>
      <c r="H43" s="173"/>
      <c r="I43" s="156"/>
      <c r="J43" s="73"/>
      <c r="K43" s="22"/>
      <c r="L43" s="22"/>
    </row>
    <row r="44" spans="1:20" ht="45" customHeight="1">
      <c r="A44" s="123"/>
      <c r="B44" s="64" t="s">
        <v>77</v>
      </c>
      <c r="C44" s="128"/>
      <c r="D44" s="56" t="s">
        <v>78</v>
      </c>
      <c r="E44" s="56" t="s">
        <v>13</v>
      </c>
      <c r="F44" s="117">
        <v>0</v>
      </c>
      <c r="G44" s="117">
        <v>799.8</v>
      </c>
      <c r="H44" s="173"/>
      <c r="I44" s="152" t="s">
        <v>79</v>
      </c>
      <c r="J44" s="75"/>
      <c r="K44" s="22"/>
      <c r="L44" s="22"/>
    </row>
    <row r="45" spans="1:20" ht="45" customHeight="1">
      <c r="A45" s="124"/>
      <c r="B45" s="64" t="s">
        <v>19</v>
      </c>
      <c r="C45" s="129"/>
      <c r="D45" s="56" t="s">
        <v>80</v>
      </c>
      <c r="E45" s="56" t="s">
        <v>13</v>
      </c>
      <c r="F45" s="117">
        <v>0</v>
      </c>
      <c r="G45" s="117">
        <v>588</v>
      </c>
      <c r="H45" s="174"/>
      <c r="I45" s="154"/>
      <c r="J45" s="66"/>
      <c r="K45" s="22"/>
      <c r="L45" s="22"/>
    </row>
    <row r="46" spans="1:20">
      <c r="A46" s="14"/>
      <c r="B46" s="15"/>
      <c r="C46" s="15"/>
      <c r="D46" s="15"/>
      <c r="E46" s="15"/>
      <c r="F46" s="15"/>
      <c r="G46" s="15"/>
      <c r="H46" s="15"/>
      <c r="I46" s="15"/>
      <c r="J46" s="15"/>
    </row>
    <row r="47" spans="1:20" s="2" customFormat="1" ht="15.75" customHeight="1">
      <c r="A47" s="16"/>
      <c r="B47" s="168" t="s">
        <v>81</v>
      </c>
      <c r="C47" s="168" t="s">
        <v>1</v>
      </c>
      <c r="D47" s="168"/>
      <c r="E47" s="168" t="s">
        <v>1</v>
      </c>
      <c r="F47" s="168"/>
      <c r="G47" s="168" t="s">
        <v>1</v>
      </c>
      <c r="H47" s="168"/>
      <c r="I47" s="168"/>
      <c r="J47" s="168" t="s">
        <v>1</v>
      </c>
      <c r="K47" s="142"/>
      <c r="L47" s="142" t="s">
        <v>1</v>
      </c>
      <c r="M47" s="142"/>
      <c r="N47" s="142" t="s">
        <v>1</v>
      </c>
      <c r="O47" s="142" t="s">
        <v>1</v>
      </c>
    </row>
    <row r="48" spans="1:20" s="2" customFormat="1" ht="14.45" customHeight="1">
      <c r="A48" s="16"/>
      <c r="B48" s="144" t="s">
        <v>82</v>
      </c>
      <c r="C48" s="144"/>
      <c r="D48" s="144"/>
      <c r="E48" s="18" t="s">
        <v>1</v>
      </c>
      <c r="F48" s="17"/>
      <c r="G48" s="18" t="s">
        <v>1</v>
      </c>
      <c r="H48" s="17"/>
      <c r="I48" s="17"/>
      <c r="J48" s="18" t="s">
        <v>1</v>
      </c>
      <c r="K48" s="142"/>
      <c r="L48" s="142" t="s">
        <v>1</v>
      </c>
      <c r="M48" s="142"/>
      <c r="N48" s="142" t="s">
        <v>1</v>
      </c>
      <c r="O48" s="142" t="s">
        <v>1</v>
      </c>
    </row>
    <row r="49" spans="1:17" s="2" customFormat="1" ht="15.75" customHeight="1">
      <c r="A49" s="16"/>
      <c r="B49" s="143" t="s">
        <v>83</v>
      </c>
      <c r="C49" s="143" t="s">
        <v>1</v>
      </c>
      <c r="D49" s="143"/>
      <c r="E49" s="143" t="s">
        <v>1</v>
      </c>
      <c r="F49" s="143"/>
      <c r="G49" s="143" t="s">
        <v>1</v>
      </c>
      <c r="H49" s="143"/>
      <c r="I49" s="143"/>
      <c r="J49" s="143" t="s">
        <v>1</v>
      </c>
      <c r="K49" s="142"/>
      <c r="L49" s="142" t="s">
        <v>1</v>
      </c>
      <c r="M49" s="142"/>
      <c r="N49" s="142" t="s">
        <v>1</v>
      </c>
      <c r="O49" s="142" t="s">
        <v>1</v>
      </c>
    </row>
    <row r="50" spans="1:17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7" s="2" customFormat="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</row>
  </sheetData>
  <mergeCells count="41">
    <mergeCell ref="A1:J1"/>
    <mergeCell ref="A2:J2"/>
    <mergeCell ref="H5:H8"/>
    <mergeCell ref="B47:J47"/>
    <mergeCell ref="K47:L47"/>
    <mergeCell ref="H9:H29"/>
    <mergeCell ref="H31:H36"/>
    <mergeCell ref="H37:H45"/>
    <mergeCell ref="M47:O47"/>
    <mergeCell ref="I9:I18"/>
    <mergeCell ref="I19:I24"/>
    <mergeCell ref="I25:I29"/>
    <mergeCell ref="I31:I34"/>
    <mergeCell ref="I35:I37"/>
    <mergeCell ref="I39:I43"/>
    <mergeCell ref="I44:I45"/>
    <mergeCell ref="K19:N24"/>
    <mergeCell ref="K9:N18"/>
    <mergeCell ref="K25:N29"/>
    <mergeCell ref="K48:L48"/>
    <mergeCell ref="M48:O48"/>
    <mergeCell ref="B49:J49"/>
    <mergeCell ref="K49:L49"/>
    <mergeCell ref="M49:O49"/>
    <mergeCell ref="B48:D48"/>
    <mergeCell ref="A51:Q51"/>
    <mergeCell ref="A5:A8"/>
    <mergeCell ref="A9:A29"/>
    <mergeCell ref="A31:A36"/>
    <mergeCell ref="A38:A45"/>
    <mergeCell ref="B5:B8"/>
    <mergeCell ref="B9:B11"/>
    <mergeCell ref="B13:B14"/>
    <mergeCell ref="B15:B18"/>
    <mergeCell ref="B19:B22"/>
    <mergeCell ref="B26:B28"/>
    <mergeCell ref="C5:C8"/>
    <mergeCell ref="C9:C29"/>
    <mergeCell ref="C31:C36"/>
    <mergeCell ref="C38:C45"/>
    <mergeCell ref="I6:I8"/>
  </mergeCells>
  <printOptions horizontalCentered="1"/>
  <pageMargins left="0.51181102362204722" right="0.39370078740157483" top="0.31496062992125984" bottom="0.43307086614173229" header="0.23622047244094491" footer="0.31496062992125984"/>
  <pageSetup paperSize="9" scale="38" orientation="portrait" r:id="rId1"/>
  <rowBreaks count="1" manualBreakCount="1">
    <brk id="50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O28"/>
  <sheetViews>
    <sheetView zoomScaleSheetLayoutView="80" workbookViewId="0">
      <selection activeCell="G5" sqref="G5"/>
    </sheetView>
  </sheetViews>
  <sheetFormatPr defaultColWidth="9" defaultRowHeight="15"/>
  <cols>
    <col min="1" max="1" width="5.7109375" customWidth="1"/>
    <col min="2" max="2" width="17.5703125" customWidth="1"/>
    <col min="3" max="3" width="19.28515625" customWidth="1"/>
    <col min="4" max="4" width="18.85546875" customWidth="1"/>
    <col min="5" max="5" width="13.140625" customWidth="1"/>
    <col min="6" max="6" width="12" customWidth="1"/>
    <col min="7" max="7" width="11.5703125" customWidth="1"/>
    <col min="8" max="8" width="11.7109375" customWidth="1"/>
    <col min="9" max="9" width="24.5703125" customWidth="1"/>
    <col min="10" max="10" width="13.28515625" customWidth="1"/>
  </cols>
  <sheetData>
    <row r="1" spans="1:15" ht="39.75" customHeight="1">
      <c r="A1" s="175" t="s">
        <v>84</v>
      </c>
      <c r="B1" s="175"/>
      <c r="C1" s="175"/>
      <c r="D1" s="175"/>
      <c r="E1" s="175"/>
      <c r="F1" s="175"/>
      <c r="G1" s="175"/>
      <c r="H1" s="175"/>
      <c r="I1" s="175"/>
      <c r="J1" s="175"/>
    </row>
    <row r="2" spans="1:15" s="1" customFormat="1" ht="33.950000000000003" customHeight="1">
      <c r="A2" s="176" t="str">
        <f>Rainfall!A2</f>
        <v>DATE:24.06.2026                                                                                                         DAILY FLOOD REPORT, I&amp;W Dept.</v>
      </c>
      <c r="B2" s="163"/>
      <c r="C2" s="163"/>
      <c r="D2" s="163"/>
      <c r="E2" s="163"/>
      <c r="F2" s="163"/>
      <c r="G2" s="163"/>
      <c r="H2" s="163"/>
      <c r="I2" s="163"/>
      <c r="J2" s="164"/>
      <c r="K2" s="5"/>
      <c r="L2" s="5" t="s">
        <v>1</v>
      </c>
      <c r="M2" s="5"/>
      <c r="N2" s="5"/>
      <c r="O2" s="5"/>
    </row>
    <row r="3" spans="1:15" ht="133.5" customHeight="1">
      <c r="A3" s="37" t="s">
        <v>85</v>
      </c>
      <c r="B3" s="37" t="s">
        <v>86</v>
      </c>
      <c r="C3" s="37" t="s">
        <v>87</v>
      </c>
      <c r="D3" s="37" t="s">
        <v>88</v>
      </c>
      <c r="E3" s="37" t="s">
        <v>89</v>
      </c>
      <c r="F3" s="37" t="s">
        <v>90</v>
      </c>
      <c r="G3" s="37" t="s">
        <v>91</v>
      </c>
      <c r="H3" s="37" t="s">
        <v>92</v>
      </c>
      <c r="I3" s="37" t="s">
        <v>9</v>
      </c>
      <c r="J3" s="36" t="s">
        <v>93</v>
      </c>
    </row>
    <row r="4" spans="1:15" ht="36.75" customHeight="1">
      <c r="A4" s="60">
        <v>1</v>
      </c>
      <c r="B4" s="63" t="s">
        <v>94</v>
      </c>
      <c r="C4" s="63" t="s">
        <v>95</v>
      </c>
      <c r="D4" s="152"/>
      <c r="E4" s="78" t="s">
        <v>195</v>
      </c>
      <c r="F4" s="78" t="s">
        <v>197</v>
      </c>
      <c r="G4" s="78">
        <v>76.5</v>
      </c>
      <c r="H4" s="63">
        <v>77.11</v>
      </c>
      <c r="I4" s="152" t="s">
        <v>96</v>
      </c>
      <c r="J4" s="63"/>
      <c r="K4" s="6"/>
      <c r="L4" s="6"/>
    </row>
    <row r="5" spans="1:15" ht="33.75" customHeight="1">
      <c r="A5" s="60">
        <v>2</v>
      </c>
      <c r="B5" s="63" t="s">
        <v>97</v>
      </c>
      <c r="C5" s="63" t="s">
        <v>98</v>
      </c>
      <c r="D5" s="154"/>
      <c r="E5" s="78" t="s">
        <v>195</v>
      </c>
      <c r="F5" s="78" t="s">
        <v>197</v>
      </c>
      <c r="G5" s="78">
        <v>77.3</v>
      </c>
      <c r="H5" s="63">
        <v>78.486000000000004</v>
      </c>
      <c r="I5" s="154"/>
      <c r="J5" s="63"/>
      <c r="K5" s="6"/>
      <c r="L5" s="6"/>
    </row>
    <row r="6" spans="1:15" ht="73.5" customHeight="1">
      <c r="A6" s="79">
        <v>3</v>
      </c>
      <c r="B6" s="74" t="s">
        <v>99</v>
      </c>
      <c r="C6" s="70" t="s">
        <v>51</v>
      </c>
      <c r="D6" s="80" t="s">
        <v>100</v>
      </c>
      <c r="E6" s="78" t="s">
        <v>195</v>
      </c>
      <c r="F6" s="78" t="s">
        <v>197</v>
      </c>
      <c r="G6" s="81">
        <v>45.5</v>
      </c>
      <c r="H6" s="81">
        <v>46.5</v>
      </c>
      <c r="I6" s="82" t="s">
        <v>101</v>
      </c>
      <c r="J6" s="80"/>
      <c r="K6" s="7"/>
      <c r="L6" s="7"/>
    </row>
    <row r="7" spans="1:15" ht="39.950000000000003" customHeight="1">
      <c r="A7" s="60">
        <v>4</v>
      </c>
      <c r="B7" s="61" t="s">
        <v>102</v>
      </c>
      <c r="C7" s="61" t="s">
        <v>55</v>
      </c>
      <c r="D7" s="152" t="s">
        <v>103</v>
      </c>
      <c r="E7" s="78">
        <v>3.8</v>
      </c>
      <c r="F7" s="78" t="s">
        <v>196</v>
      </c>
      <c r="G7" s="48">
        <v>5.79</v>
      </c>
      <c r="H7" s="48">
        <v>6.4</v>
      </c>
      <c r="I7" s="177" t="s">
        <v>56</v>
      </c>
      <c r="J7" s="106" t="s">
        <v>195</v>
      </c>
      <c r="K7" s="6"/>
      <c r="L7" s="6"/>
    </row>
    <row r="8" spans="1:15" ht="39.950000000000003" customHeight="1">
      <c r="A8" s="60">
        <v>5</v>
      </c>
      <c r="B8" s="61" t="s">
        <v>99</v>
      </c>
      <c r="C8" s="61" t="s">
        <v>104</v>
      </c>
      <c r="D8" s="153"/>
      <c r="E8" s="78" t="s">
        <v>195</v>
      </c>
      <c r="F8" s="78" t="s">
        <v>197</v>
      </c>
      <c r="G8" s="48">
        <v>16.149999999999999</v>
      </c>
      <c r="H8" s="48">
        <v>16.75</v>
      </c>
      <c r="I8" s="178"/>
      <c r="J8" s="112" t="s">
        <v>195</v>
      </c>
      <c r="K8" s="6"/>
      <c r="L8" s="6"/>
    </row>
    <row r="9" spans="1:15" ht="39.950000000000003" customHeight="1">
      <c r="A9" s="60">
        <v>6</v>
      </c>
      <c r="B9" s="61" t="s">
        <v>59</v>
      </c>
      <c r="C9" s="61" t="s">
        <v>105</v>
      </c>
      <c r="D9" s="153"/>
      <c r="E9" s="78"/>
      <c r="F9" s="78" t="s">
        <v>198</v>
      </c>
      <c r="G9" s="83"/>
      <c r="H9" s="84"/>
      <c r="I9" s="178"/>
      <c r="J9" s="113" t="s">
        <v>203</v>
      </c>
      <c r="K9" s="6"/>
      <c r="L9" s="6"/>
      <c r="M9" s="6"/>
    </row>
    <row r="10" spans="1:15" ht="39.950000000000003" customHeight="1">
      <c r="A10" s="60">
        <v>7</v>
      </c>
      <c r="B10" s="61" t="s">
        <v>59</v>
      </c>
      <c r="C10" s="61" t="s">
        <v>106</v>
      </c>
      <c r="D10" s="153"/>
      <c r="E10" s="78"/>
      <c r="F10" s="78" t="s">
        <v>199</v>
      </c>
      <c r="G10" s="83"/>
      <c r="H10" s="84"/>
      <c r="I10" s="179"/>
      <c r="J10" s="113" t="s">
        <v>204</v>
      </c>
      <c r="K10" s="6"/>
      <c r="L10" s="6"/>
    </row>
    <row r="11" spans="1:15" ht="39.950000000000003" customHeight="1">
      <c r="A11" s="60">
        <v>8</v>
      </c>
      <c r="B11" s="61" t="s">
        <v>107</v>
      </c>
      <c r="C11" s="61" t="s">
        <v>108</v>
      </c>
      <c r="D11" s="153"/>
      <c r="E11" s="78">
        <v>2.8</v>
      </c>
      <c r="F11" s="78" t="s">
        <v>196</v>
      </c>
      <c r="G11" s="86">
        <v>5.13</v>
      </c>
      <c r="H11" s="56">
        <v>5.74</v>
      </c>
      <c r="I11" s="152" t="s">
        <v>65</v>
      </c>
      <c r="J11" s="63"/>
      <c r="K11" s="6"/>
      <c r="L11" s="6"/>
    </row>
    <row r="12" spans="1:15" ht="39.950000000000003" customHeight="1">
      <c r="A12" s="60">
        <v>9</v>
      </c>
      <c r="B12" s="61" t="s">
        <v>109</v>
      </c>
      <c r="C12" s="61" t="s">
        <v>110</v>
      </c>
      <c r="D12" s="153"/>
      <c r="E12" s="78" t="s">
        <v>195</v>
      </c>
      <c r="F12" s="78" t="s">
        <v>197</v>
      </c>
      <c r="G12" s="86">
        <v>5.62</v>
      </c>
      <c r="H12" s="56">
        <v>6.25</v>
      </c>
      <c r="I12" s="153"/>
      <c r="J12" s="85"/>
      <c r="K12" s="6"/>
      <c r="L12" s="6"/>
      <c r="M12" s="6"/>
    </row>
    <row r="13" spans="1:15" ht="39.950000000000003" customHeight="1">
      <c r="A13" s="60">
        <v>10</v>
      </c>
      <c r="B13" s="61" t="s">
        <v>111</v>
      </c>
      <c r="C13" s="61" t="s">
        <v>64</v>
      </c>
      <c r="D13" s="153"/>
      <c r="E13" s="78" t="s">
        <v>195</v>
      </c>
      <c r="F13" s="78" t="s">
        <v>197</v>
      </c>
      <c r="G13" s="86">
        <v>9.2899999999999991</v>
      </c>
      <c r="H13" s="71">
        <v>9.9</v>
      </c>
      <c r="I13" s="153"/>
      <c r="J13" s="86"/>
      <c r="K13" s="6"/>
      <c r="L13" s="6"/>
    </row>
    <row r="14" spans="1:15" ht="39.950000000000003" customHeight="1">
      <c r="A14" s="60">
        <v>11</v>
      </c>
      <c r="B14" s="61" t="s">
        <v>111</v>
      </c>
      <c r="C14" s="61" t="s">
        <v>112</v>
      </c>
      <c r="D14" s="153"/>
      <c r="E14" s="78" t="s">
        <v>195</v>
      </c>
      <c r="F14" s="78" t="s">
        <v>197</v>
      </c>
      <c r="G14" s="86">
        <v>5.0199999999999996</v>
      </c>
      <c r="H14" s="56">
        <v>5.63</v>
      </c>
      <c r="I14" s="153"/>
      <c r="J14" s="86"/>
      <c r="K14" s="6"/>
      <c r="L14" s="6"/>
    </row>
    <row r="15" spans="1:15" ht="39.950000000000003" customHeight="1">
      <c r="A15" s="60">
        <v>12</v>
      </c>
      <c r="B15" s="63" t="s">
        <v>113</v>
      </c>
      <c r="C15" s="61" t="s">
        <v>68</v>
      </c>
      <c r="D15" s="154"/>
      <c r="E15" s="78">
        <v>4.6500000000000004</v>
      </c>
      <c r="F15" s="78" t="s">
        <v>196</v>
      </c>
      <c r="G15" s="71">
        <v>6.3</v>
      </c>
      <c r="H15" s="56">
        <v>6.9</v>
      </c>
      <c r="I15" s="154"/>
      <c r="J15" s="85"/>
      <c r="K15" s="6"/>
      <c r="L15" s="6"/>
    </row>
    <row r="16" spans="1:15" s="6" customFormat="1" ht="39.950000000000003" customHeight="1">
      <c r="A16" s="63">
        <v>13</v>
      </c>
      <c r="B16" s="61" t="s">
        <v>102</v>
      </c>
      <c r="C16" s="61" t="s">
        <v>114</v>
      </c>
      <c r="D16" s="152" t="s">
        <v>115</v>
      </c>
      <c r="E16" s="78" t="s">
        <v>195</v>
      </c>
      <c r="F16" s="78" t="s">
        <v>197</v>
      </c>
      <c r="G16" s="87">
        <v>8.4</v>
      </c>
      <c r="H16" s="88">
        <v>8.85</v>
      </c>
      <c r="I16" s="152" t="s">
        <v>70</v>
      </c>
      <c r="J16" s="89"/>
    </row>
    <row r="17" spans="1:12" s="6" customFormat="1" ht="39.950000000000003" customHeight="1">
      <c r="A17" s="63">
        <v>14</v>
      </c>
      <c r="B17" s="61" t="s">
        <v>102</v>
      </c>
      <c r="C17" s="61" t="s">
        <v>116</v>
      </c>
      <c r="D17" s="153"/>
      <c r="E17" s="78">
        <v>3.98</v>
      </c>
      <c r="F17" s="78" t="s">
        <v>197</v>
      </c>
      <c r="G17" s="88">
        <v>6.55</v>
      </c>
      <c r="H17" s="87">
        <v>7</v>
      </c>
      <c r="I17" s="153"/>
      <c r="J17" s="86"/>
    </row>
    <row r="18" spans="1:12" s="6" customFormat="1" ht="39.950000000000003" customHeight="1">
      <c r="A18" s="63">
        <v>15</v>
      </c>
      <c r="B18" s="61" t="s">
        <v>102</v>
      </c>
      <c r="C18" s="61" t="s">
        <v>117</v>
      </c>
      <c r="D18" s="153"/>
      <c r="E18" s="78">
        <v>3.2</v>
      </c>
      <c r="F18" s="78" t="s">
        <v>197</v>
      </c>
      <c r="G18" s="87">
        <v>5</v>
      </c>
      <c r="H18" s="88">
        <v>5.33</v>
      </c>
      <c r="I18" s="153"/>
      <c r="J18" s="86"/>
      <c r="L18" s="6" t="s">
        <v>39</v>
      </c>
    </row>
    <row r="19" spans="1:12" s="6" customFormat="1" ht="39.950000000000003" customHeight="1">
      <c r="A19" s="63">
        <v>16</v>
      </c>
      <c r="B19" s="61" t="s">
        <v>118</v>
      </c>
      <c r="C19" s="61" t="s">
        <v>119</v>
      </c>
      <c r="D19" s="153"/>
      <c r="E19" s="78">
        <v>3.84</v>
      </c>
      <c r="F19" s="78" t="s">
        <v>196</v>
      </c>
      <c r="G19" s="88">
        <v>5.33</v>
      </c>
      <c r="H19" s="88">
        <v>5.94</v>
      </c>
      <c r="I19" s="154"/>
      <c r="J19" s="90"/>
    </row>
    <row r="20" spans="1:12" ht="39.950000000000003" customHeight="1">
      <c r="A20" s="60">
        <v>17</v>
      </c>
      <c r="B20" s="61" t="s">
        <v>120</v>
      </c>
      <c r="C20" s="61" t="s">
        <v>121</v>
      </c>
      <c r="D20" s="153"/>
      <c r="E20" s="78" t="s">
        <v>195</v>
      </c>
      <c r="F20" s="78" t="s">
        <v>197</v>
      </c>
      <c r="G20" s="86">
        <v>15.08</v>
      </c>
      <c r="H20" s="86">
        <v>15.69</v>
      </c>
      <c r="I20" s="152" t="s">
        <v>122</v>
      </c>
      <c r="J20" s="63"/>
      <c r="K20" s="6"/>
      <c r="L20" s="6"/>
    </row>
    <row r="21" spans="1:12" ht="39.950000000000003" customHeight="1">
      <c r="A21" s="60">
        <v>18</v>
      </c>
      <c r="B21" s="61" t="s">
        <v>120</v>
      </c>
      <c r="C21" s="61" t="s">
        <v>123</v>
      </c>
      <c r="D21" s="153"/>
      <c r="E21" s="78">
        <v>2.98</v>
      </c>
      <c r="F21" s="78" t="s">
        <v>200</v>
      </c>
      <c r="G21" s="86">
        <v>8.99</v>
      </c>
      <c r="H21" s="86">
        <v>9.6</v>
      </c>
      <c r="I21" s="153"/>
      <c r="J21" s="63"/>
      <c r="K21" s="8"/>
      <c r="L21" s="6"/>
    </row>
    <row r="22" spans="1:12" ht="39.950000000000003" customHeight="1">
      <c r="A22" s="60">
        <v>19</v>
      </c>
      <c r="B22" s="61" t="s">
        <v>107</v>
      </c>
      <c r="C22" s="61" t="s">
        <v>124</v>
      </c>
      <c r="D22" s="153"/>
      <c r="E22" s="78" t="s">
        <v>195</v>
      </c>
      <c r="F22" s="78" t="s">
        <v>197</v>
      </c>
      <c r="G22" s="86">
        <v>6.85</v>
      </c>
      <c r="H22" s="86">
        <v>7.46</v>
      </c>
      <c r="I22" s="153"/>
      <c r="J22" s="91"/>
      <c r="K22" s="9"/>
      <c r="L22" s="6"/>
    </row>
    <row r="23" spans="1:12" ht="39.950000000000003" customHeight="1">
      <c r="A23" s="60">
        <v>20</v>
      </c>
      <c r="B23" s="61" t="s">
        <v>107</v>
      </c>
      <c r="C23" s="61" t="s">
        <v>125</v>
      </c>
      <c r="D23" s="153"/>
      <c r="E23" s="78">
        <v>1.18</v>
      </c>
      <c r="F23" s="78" t="s">
        <v>196</v>
      </c>
      <c r="G23" s="86">
        <v>5.03</v>
      </c>
      <c r="H23" s="86">
        <v>5.64</v>
      </c>
      <c r="I23" s="153"/>
      <c r="J23" s="86"/>
      <c r="K23" s="6"/>
      <c r="L23" s="6"/>
    </row>
    <row r="24" spans="1:12" ht="39.950000000000003" customHeight="1">
      <c r="A24" s="60">
        <v>21</v>
      </c>
      <c r="B24" s="61" t="s">
        <v>126</v>
      </c>
      <c r="C24" s="61" t="s">
        <v>127</v>
      </c>
      <c r="D24" s="153"/>
      <c r="E24" s="78">
        <v>24.52</v>
      </c>
      <c r="F24" s="78" t="s">
        <v>200</v>
      </c>
      <c r="G24" s="86">
        <v>25.75</v>
      </c>
      <c r="H24" s="86">
        <v>26.36</v>
      </c>
      <c r="I24" s="153"/>
      <c r="J24" s="86"/>
      <c r="K24" s="6"/>
      <c r="L24" s="6"/>
    </row>
    <row r="25" spans="1:12" ht="39.950000000000003" customHeight="1">
      <c r="A25" s="60">
        <v>22</v>
      </c>
      <c r="B25" s="61" t="s">
        <v>128</v>
      </c>
      <c r="C25" s="61" t="s">
        <v>129</v>
      </c>
      <c r="D25" s="153"/>
      <c r="E25" s="78" t="s">
        <v>195</v>
      </c>
      <c r="F25" s="78" t="s">
        <v>197</v>
      </c>
      <c r="G25" s="86">
        <v>9.2899999999999991</v>
      </c>
      <c r="H25" s="92">
        <v>9.9</v>
      </c>
      <c r="I25" s="153"/>
      <c r="J25" s="63"/>
      <c r="K25" s="9"/>
      <c r="L25" s="6"/>
    </row>
    <row r="26" spans="1:12" ht="39.950000000000003" customHeight="1">
      <c r="A26" s="60">
        <v>23</v>
      </c>
      <c r="B26" s="61" t="s">
        <v>130</v>
      </c>
      <c r="C26" s="61" t="s">
        <v>131</v>
      </c>
      <c r="D26" s="153"/>
      <c r="E26" s="78" t="s">
        <v>195</v>
      </c>
      <c r="F26" s="78" t="s">
        <v>197</v>
      </c>
      <c r="G26" s="92">
        <v>16</v>
      </c>
      <c r="H26" s="86">
        <v>16.61</v>
      </c>
      <c r="I26" s="153"/>
      <c r="J26" s="63"/>
      <c r="K26" s="9"/>
      <c r="L26" s="6"/>
    </row>
    <row r="27" spans="1:12" ht="39.950000000000003" customHeight="1">
      <c r="A27" s="60">
        <v>24</v>
      </c>
      <c r="B27" s="61" t="s">
        <v>107</v>
      </c>
      <c r="C27" s="61" t="s">
        <v>132</v>
      </c>
      <c r="D27" s="154"/>
      <c r="E27" s="78" t="s">
        <v>195</v>
      </c>
      <c r="F27" s="78" t="s">
        <v>197</v>
      </c>
      <c r="G27" s="86">
        <v>5.33</v>
      </c>
      <c r="H27" s="86">
        <v>5.94</v>
      </c>
      <c r="I27" s="154"/>
      <c r="J27" s="63"/>
      <c r="K27" s="9"/>
      <c r="L27" s="6"/>
    </row>
    <row r="28" spans="1:12">
      <c r="E28" s="6"/>
      <c r="F28" s="6"/>
      <c r="G28" s="6"/>
      <c r="H28" s="6"/>
      <c r="I28" s="6"/>
      <c r="J28" s="6"/>
    </row>
  </sheetData>
  <mergeCells count="10">
    <mergeCell ref="A1:J1"/>
    <mergeCell ref="A2:J2"/>
    <mergeCell ref="D4:D5"/>
    <mergeCell ref="D7:D15"/>
    <mergeCell ref="D16:D27"/>
    <mergeCell ref="I4:I5"/>
    <mergeCell ref="I7:I10"/>
    <mergeCell ref="I11:I15"/>
    <mergeCell ref="I16:I19"/>
    <mergeCell ref="I20:I27"/>
  </mergeCells>
  <phoneticPr fontId="60" type="noConversion"/>
  <pageMargins left="0.59055118110236227" right="0.51181102362204722" top="0.55118110236220474" bottom="0.43307086614173229" header="0.31496062992125984" footer="0.31496062992125984"/>
  <pageSetup paperSize="9" scale="61" orientation="portrait" r:id="rId1"/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U37"/>
  <sheetViews>
    <sheetView tabSelected="1" zoomScaleSheetLayoutView="100" workbookViewId="0">
      <selection activeCell="O10" sqref="O10"/>
    </sheetView>
  </sheetViews>
  <sheetFormatPr defaultColWidth="9" defaultRowHeight="15"/>
  <cols>
    <col min="2" max="2" width="15.28515625" customWidth="1"/>
    <col min="3" max="3" width="10.85546875" customWidth="1"/>
    <col min="4" max="4" width="18.28515625" customWidth="1"/>
    <col min="5" max="5" width="6.42578125" customWidth="1"/>
    <col min="6" max="6" width="5.28515625" customWidth="1"/>
    <col min="7" max="7" width="7.28515625" customWidth="1"/>
    <col min="8" max="8" width="5.140625" customWidth="1"/>
    <col min="9" max="9" width="7.28515625" customWidth="1"/>
    <col min="10" max="10" width="8.85546875" customWidth="1"/>
    <col min="11" max="11" width="7" customWidth="1"/>
    <col min="12" max="12" width="8.85546875" customWidth="1"/>
    <col min="13" max="13" width="6.7109375" customWidth="1"/>
    <col min="14" max="14" width="6.5703125" customWidth="1"/>
    <col min="15" max="15" width="14.7109375" customWidth="1"/>
    <col min="17" max="17" width="11.28515625" customWidth="1"/>
    <col min="18" max="18" width="5.28515625" customWidth="1"/>
  </cols>
  <sheetData>
    <row r="1" spans="1:19" s="1" customFormat="1" ht="60.75" customHeight="1">
      <c r="A1" s="235" t="str">
        <f>Rainfall!A2</f>
        <v>DATE:24.06.2026                                                                                                         DAILY FLOOD REPORT, I&amp;W Dept.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7"/>
      <c r="R1" s="5"/>
      <c r="S1" s="5"/>
    </row>
    <row r="2" spans="1:19" s="2" customFormat="1" ht="45" customHeight="1">
      <c r="A2" s="201" t="s">
        <v>133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</row>
    <row r="3" spans="1:19" s="3" customFormat="1" ht="89.25" customHeight="1">
      <c r="A3" s="95" t="s">
        <v>85</v>
      </c>
      <c r="B3" s="95" t="s">
        <v>134</v>
      </c>
      <c r="C3" s="238" t="s">
        <v>135</v>
      </c>
      <c r="D3" s="239"/>
      <c r="E3" s="238" t="s">
        <v>136</v>
      </c>
      <c r="F3" s="239"/>
      <c r="G3" s="238" t="s">
        <v>137</v>
      </c>
      <c r="H3" s="239"/>
      <c r="I3" s="238" t="s">
        <v>138</v>
      </c>
      <c r="J3" s="239"/>
      <c r="K3" s="238" t="s">
        <v>139</v>
      </c>
      <c r="L3" s="239"/>
      <c r="M3" s="238" t="s">
        <v>140</v>
      </c>
      <c r="N3" s="239"/>
      <c r="O3" s="95" t="s">
        <v>141</v>
      </c>
      <c r="P3" s="238" t="s">
        <v>9</v>
      </c>
      <c r="Q3" s="239"/>
    </row>
    <row r="4" spans="1:19" s="94" customFormat="1" ht="71.25" customHeight="1">
      <c r="A4" s="93">
        <v>1</v>
      </c>
      <c r="B4" s="100" t="s">
        <v>126</v>
      </c>
      <c r="C4" s="217" t="s">
        <v>142</v>
      </c>
      <c r="D4" s="218"/>
      <c r="E4" s="219">
        <v>434</v>
      </c>
      <c r="F4" s="218"/>
      <c r="G4" s="219">
        <v>445</v>
      </c>
      <c r="H4" s="218"/>
      <c r="I4" s="219">
        <v>408.5</v>
      </c>
      <c r="J4" s="218"/>
      <c r="K4" s="220">
        <v>0</v>
      </c>
      <c r="L4" s="221"/>
      <c r="M4" s="220">
        <v>0</v>
      </c>
      <c r="N4" s="221"/>
      <c r="O4" s="101">
        <v>0.25</v>
      </c>
      <c r="P4" s="217" t="s">
        <v>185</v>
      </c>
      <c r="Q4" s="218"/>
    </row>
    <row r="5" spans="1:19" s="1" customFormat="1" ht="55.5" customHeight="1">
      <c r="A5" s="224" t="s">
        <v>143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</row>
    <row r="6" spans="1:19" s="2" customFormat="1" ht="66" customHeight="1">
      <c r="A6" s="33" t="s">
        <v>85</v>
      </c>
      <c r="B6" s="33" t="s">
        <v>144</v>
      </c>
      <c r="C6" s="222" t="s">
        <v>145</v>
      </c>
      <c r="D6" s="223"/>
      <c r="E6" s="223"/>
      <c r="F6" s="223"/>
      <c r="G6" s="222" t="s">
        <v>146</v>
      </c>
      <c r="H6" s="223"/>
      <c r="I6" s="222" t="s">
        <v>147</v>
      </c>
      <c r="J6" s="223"/>
      <c r="K6" s="222" t="s">
        <v>148</v>
      </c>
      <c r="L6" s="223"/>
      <c r="M6" s="223"/>
      <c r="N6" s="223"/>
      <c r="O6" s="33" t="s">
        <v>141</v>
      </c>
      <c r="P6" s="222" t="s">
        <v>9</v>
      </c>
      <c r="Q6" s="223"/>
    </row>
    <row r="7" spans="1:19" s="2" customFormat="1" ht="63.75" customHeight="1">
      <c r="A7" s="96">
        <v>1</v>
      </c>
      <c r="B7" s="97"/>
      <c r="C7" s="229"/>
      <c r="D7" s="229"/>
      <c r="E7" s="229"/>
      <c r="F7" s="229"/>
      <c r="G7" s="230"/>
      <c r="H7" s="203"/>
      <c r="I7" s="230"/>
      <c r="J7" s="203"/>
      <c r="K7" s="225"/>
      <c r="L7" s="203"/>
      <c r="M7" s="203"/>
      <c r="N7" s="203"/>
      <c r="O7" s="98"/>
      <c r="P7" s="226"/>
      <c r="Q7" s="226"/>
    </row>
    <row r="8" spans="1:19" s="1" customFormat="1" ht="29.25" customHeight="1">
      <c r="A8" s="224" t="s">
        <v>149</v>
      </c>
      <c r="B8" s="203"/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</row>
    <row r="9" spans="1:19" s="99" customFormat="1" ht="49.5" customHeight="1">
      <c r="A9" s="107" t="s">
        <v>85</v>
      </c>
      <c r="B9" s="107" t="s">
        <v>144</v>
      </c>
      <c r="C9" s="231" t="s">
        <v>150</v>
      </c>
      <c r="D9" s="232"/>
      <c r="E9" s="233" t="s">
        <v>151</v>
      </c>
      <c r="F9" s="234"/>
      <c r="G9" s="227" t="s">
        <v>152</v>
      </c>
      <c r="H9" s="228"/>
      <c r="I9" s="227" t="s">
        <v>153</v>
      </c>
      <c r="J9" s="228"/>
      <c r="K9" s="227" t="s">
        <v>154</v>
      </c>
      <c r="L9" s="228"/>
      <c r="M9" s="227" t="s">
        <v>155</v>
      </c>
      <c r="N9" s="228"/>
      <c r="O9" s="33" t="s">
        <v>141</v>
      </c>
      <c r="P9" s="227" t="s">
        <v>9</v>
      </c>
      <c r="Q9" s="228"/>
    </row>
    <row r="10" spans="1:19" s="30" customFormat="1" ht="61.5" customHeight="1">
      <c r="A10" s="108">
        <v>1</v>
      </c>
      <c r="B10" s="109" t="s">
        <v>126</v>
      </c>
      <c r="C10" s="206" t="s">
        <v>156</v>
      </c>
      <c r="D10" s="207"/>
      <c r="E10" s="208">
        <v>16</v>
      </c>
      <c r="F10" s="207"/>
      <c r="G10" s="209">
        <v>16.61</v>
      </c>
      <c r="H10" s="200"/>
      <c r="I10" s="210" t="s">
        <v>195</v>
      </c>
      <c r="J10" s="200"/>
      <c r="K10" s="211">
        <v>0</v>
      </c>
      <c r="L10" s="212"/>
      <c r="M10" s="199" t="s">
        <v>197</v>
      </c>
      <c r="N10" s="200"/>
      <c r="O10" s="104">
        <v>0.33333333333333331</v>
      </c>
      <c r="P10" s="199" t="s">
        <v>122</v>
      </c>
      <c r="Q10" s="200"/>
    </row>
    <row r="11" spans="1:19" s="1" customFormat="1" ht="28.5" customHeight="1">
      <c r="A11" s="201" t="s">
        <v>157</v>
      </c>
      <c r="B11" s="202"/>
      <c r="C11" s="202"/>
      <c r="D11" s="202"/>
      <c r="E11" s="202"/>
      <c r="F11" s="202"/>
      <c r="G11" s="203"/>
      <c r="H11" s="203"/>
      <c r="I11" s="203"/>
      <c r="J11" s="203"/>
      <c r="K11" s="203"/>
      <c r="L11" s="203"/>
      <c r="M11" s="203"/>
      <c r="N11" s="203"/>
      <c r="O11" s="203"/>
      <c r="P11" s="203"/>
      <c r="Q11" s="203"/>
    </row>
    <row r="12" spans="1:19" s="2" customFormat="1" ht="33.75" customHeight="1">
      <c r="A12" s="29" t="s">
        <v>85</v>
      </c>
      <c r="B12" s="29" t="s">
        <v>86</v>
      </c>
      <c r="C12" s="204" t="s">
        <v>158</v>
      </c>
      <c r="D12" s="205"/>
      <c r="E12" s="205"/>
      <c r="F12" s="205"/>
      <c r="G12" s="205"/>
      <c r="H12" s="205"/>
      <c r="I12" s="204" t="s">
        <v>159</v>
      </c>
      <c r="J12" s="205"/>
      <c r="K12" s="204" t="s">
        <v>160</v>
      </c>
      <c r="L12" s="205"/>
      <c r="M12" s="204" t="s">
        <v>161</v>
      </c>
      <c r="N12" s="205"/>
      <c r="O12" s="29" t="s">
        <v>162</v>
      </c>
      <c r="P12" s="204" t="s">
        <v>93</v>
      </c>
      <c r="Q12" s="205"/>
    </row>
    <row r="13" spans="1:19" s="2" customFormat="1" ht="43.5" customHeight="1">
      <c r="A13" s="35">
        <v>1</v>
      </c>
      <c r="B13" s="34" t="s">
        <v>163</v>
      </c>
      <c r="C13" s="213" t="s">
        <v>163</v>
      </c>
      <c r="D13" s="214"/>
      <c r="E13" s="214"/>
      <c r="F13" s="214"/>
      <c r="G13" s="214"/>
      <c r="H13" s="215"/>
      <c r="I13" s="213" t="s">
        <v>163</v>
      </c>
      <c r="J13" s="215"/>
      <c r="K13" s="213" t="s">
        <v>163</v>
      </c>
      <c r="L13" s="215"/>
      <c r="M13" s="213" t="s">
        <v>163</v>
      </c>
      <c r="N13" s="215"/>
      <c r="O13" s="34" t="s">
        <v>163</v>
      </c>
      <c r="P13" s="213"/>
      <c r="Q13" s="216"/>
    </row>
    <row r="14" spans="1:19" s="2" customFormat="1" ht="35.25" customHeight="1">
      <c r="A14" s="180" t="s">
        <v>192</v>
      </c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2"/>
    </row>
    <row r="15" spans="1:19" s="2" customFormat="1" ht="63.75" customHeight="1">
      <c r="A15" s="195">
        <v>1</v>
      </c>
      <c r="B15" s="195">
        <v>1</v>
      </c>
      <c r="C15" s="197" t="s">
        <v>164</v>
      </c>
      <c r="D15" s="4" t="s">
        <v>193</v>
      </c>
      <c r="E15" s="183" t="s">
        <v>201</v>
      </c>
      <c r="F15" s="184"/>
      <c r="G15" s="184"/>
      <c r="H15" s="184"/>
      <c r="I15" s="184"/>
      <c r="J15" s="184"/>
      <c r="K15" s="184"/>
      <c r="L15" s="184"/>
      <c r="M15" s="184"/>
      <c r="N15" s="184"/>
      <c r="O15" s="184"/>
      <c r="P15" s="184"/>
      <c r="Q15" s="185"/>
    </row>
    <row r="16" spans="1:19" s="2" customFormat="1" ht="48.6" hidden="1" customHeight="1">
      <c r="A16" s="196"/>
      <c r="B16" s="196"/>
      <c r="C16" s="198"/>
      <c r="D16" s="4" t="s">
        <v>168</v>
      </c>
      <c r="E16" s="191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3"/>
    </row>
    <row r="17" spans="1:21" s="2" customFormat="1" ht="26.45" hidden="1" customHeight="1">
      <c r="A17" s="196"/>
      <c r="B17" s="196"/>
      <c r="C17" s="198"/>
      <c r="D17" s="31" t="s">
        <v>189</v>
      </c>
      <c r="E17" s="194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3"/>
    </row>
    <row r="18" spans="1:21" s="110" customFormat="1" ht="63" customHeight="1">
      <c r="A18" s="196"/>
      <c r="B18" s="115">
        <v>2</v>
      </c>
      <c r="C18" s="114" t="s">
        <v>190</v>
      </c>
      <c r="D18" s="4" t="s">
        <v>194</v>
      </c>
      <c r="E18" s="183" t="s">
        <v>202</v>
      </c>
      <c r="F18" s="184"/>
      <c r="G18" s="184"/>
      <c r="H18" s="184"/>
      <c r="I18" s="184"/>
      <c r="J18" s="184"/>
      <c r="K18" s="184"/>
      <c r="L18" s="184"/>
      <c r="M18" s="184"/>
      <c r="N18" s="184"/>
      <c r="O18" s="184"/>
      <c r="P18" s="184"/>
      <c r="Q18" s="185"/>
    </row>
    <row r="19" spans="1:21" s="2" customFormat="1" ht="36" customHeight="1">
      <c r="A19" s="186" t="s">
        <v>165</v>
      </c>
      <c r="B19" s="186"/>
      <c r="C19" s="186"/>
      <c r="D19" s="186"/>
      <c r="E19" s="186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</row>
    <row r="20" spans="1:21" s="2" customFormat="1" ht="36.75" customHeight="1">
      <c r="A20" s="187" t="s">
        <v>166</v>
      </c>
      <c r="B20" s="188"/>
      <c r="C20" s="188"/>
      <c r="D20" s="189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</row>
    <row r="21" spans="1:21" s="2" customFormat="1" ht="36.75" customHeight="1">
      <c r="A21" s="241" t="s">
        <v>179</v>
      </c>
      <c r="B21" s="242"/>
      <c r="C21" s="242"/>
      <c r="D21" s="243"/>
      <c r="E21" s="244"/>
      <c r="F21" s="245"/>
      <c r="G21" s="245"/>
      <c r="H21" s="245"/>
      <c r="I21" s="245"/>
      <c r="J21" s="245"/>
      <c r="K21" s="245"/>
      <c r="L21" s="245"/>
      <c r="M21" s="245"/>
      <c r="N21" s="245"/>
      <c r="O21" s="245"/>
      <c r="P21" s="245"/>
      <c r="Q21" s="246"/>
      <c r="U21" s="2" t="s">
        <v>167</v>
      </c>
    </row>
    <row r="22" spans="1:21" s="2" customFormat="1" ht="30" customHeight="1">
      <c r="A22" s="247" t="s">
        <v>180</v>
      </c>
      <c r="B22" s="248"/>
      <c r="C22" s="248"/>
      <c r="D22" s="249"/>
      <c r="E22" s="250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2"/>
    </row>
    <row r="23" spans="1:21" s="2" customFormat="1" ht="33" customHeight="1">
      <c r="A23" s="250" t="s">
        <v>181</v>
      </c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L23" s="253"/>
      <c r="M23" s="253"/>
      <c r="N23" s="253"/>
      <c r="O23" s="253"/>
      <c r="P23" s="253"/>
      <c r="Q23" s="254"/>
    </row>
    <row r="24" spans="1:21" s="99" customFormat="1" ht="33" customHeight="1">
      <c r="A24" s="247" t="s">
        <v>182</v>
      </c>
      <c r="B24" s="248"/>
      <c r="C24" s="248"/>
      <c r="D24" s="249"/>
      <c r="E24" s="261"/>
      <c r="F24" s="261"/>
      <c r="G24" s="261"/>
      <c r="H24" s="261"/>
      <c r="I24" s="261"/>
      <c r="J24" s="261"/>
      <c r="K24" s="261"/>
      <c r="L24" s="261"/>
      <c r="M24" s="261"/>
      <c r="N24" s="261"/>
      <c r="O24" s="261"/>
      <c r="P24" s="261"/>
      <c r="Q24" s="261"/>
    </row>
    <row r="25" spans="1:21" s="99" customFormat="1" ht="36" customHeight="1">
      <c r="A25" s="247" t="s">
        <v>183</v>
      </c>
      <c r="B25" s="248"/>
      <c r="C25" s="248"/>
      <c r="D25" s="249"/>
      <c r="E25" s="262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</row>
    <row r="26" spans="1:21" s="2" customFormat="1" ht="45" customHeight="1">
      <c r="A26" s="263" t="s">
        <v>169</v>
      </c>
      <c r="B26" s="264"/>
      <c r="C26" s="264"/>
      <c r="D26" s="264"/>
      <c r="E26" s="264"/>
      <c r="F26" s="264"/>
      <c r="G26" s="264"/>
      <c r="H26" s="264"/>
      <c r="I26" s="264"/>
      <c r="J26" s="264"/>
      <c r="K26" s="264"/>
      <c r="L26" s="264"/>
      <c r="M26" s="264"/>
      <c r="N26" s="264"/>
      <c r="O26" s="264"/>
      <c r="P26" s="264"/>
      <c r="Q26" s="265"/>
    </row>
    <row r="27" spans="1:21" s="2" customFormat="1" ht="36" customHeight="1">
      <c r="A27" s="255"/>
      <c r="B27" s="256"/>
      <c r="C27" s="256"/>
      <c r="D27" s="256"/>
      <c r="E27" s="256"/>
      <c r="F27" s="256"/>
      <c r="G27" s="256"/>
      <c r="H27" s="256"/>
      <c r="I27" s="256"/>
      <c r="J27" s="256"/>
      <c r="K27" s="256"/>
      <c r="L27" s="257"/>
      <c r="M27" s="258" t="s">
        <v>184</v>
      </c>
      <c r="N27" s="259"/>
      <c r="O27" s="259"/>
      <c r="P27" s="260"/>
      <c r="Q27" s="260"/>
    </row>
    <row r="35" spans="13:15" ht="18.75">
      <c r="M35" s="240" t="s">
        <v>188</v>
      </c>
      <c r="N35" s="240"/>
      <c r="O35" s="240"/>
    </row>
    <row r="36" spans="13:15" ht="18.75">
      <c r="M36" s="240" t="s">
        <v>186</v>
      </c>
      <c r="N36" s="240"/>
      <c r="O36" s="240"/>
    </row>
    <row r="37" spans="13:15" ht="18.75">
      <c r="M37" s="240" t="s">
        <v>187</v>
      </c>
      <c r="N37" s="240"/>
      <c r="O37" s="240"/>
    </row>
  </sheetData>
  <mergeCells count="80">
    <mergeCell ref="M37:O37"/>
    <mergeCell ref="A21:D21"/>
    <mergeCell ref="E21:Q21"/>
    <mergeCell ref="A22:D22"/>
    <mergeCell ref="E22:Q22"/>
    <mergeCell ref="A23:Q23"/>
    <mergeCell ref="A27:L27"/>
    <mergeCell ref="M27:O27"/>
    <mergeCell ref="P27:Q27"/>
    <mergeCell ref="A24:D24"/>
    <mergeCell ref="E24:Q24"/>
    <mergeCell ref="A25:D25"/>
    <mergeCell ref="E25:Q25"/>
    <mergeCell ref="A26:Q26"/>
    <mergeCell ref="M36:O36"/>
    <mergeCell ref="M35:O35"/>
    <mergeCell ref="A1:Q1"/>
    <mergeCell ref="A2:Q2"/>
    <mergeCell ref="C3:D3"/>
    <mergeCell ref="E3:F3"/>
    <mergeCell ref="G3:H3"/>
    <mergeCell ref="I3:J3"/>
    <mergeCell ref="K3:L3"/>
    <mergeCell ref="M3:N3"/>
    <mergeCell ref="P3:Q3"/>
    <mergeCell ref="M4:N4"/>
    <mergeCell ref="P4:Q4"/>
    <mergeCell ref="A5:Q5"/>
    <mergeCell ref="C6:F6"/>
    <mergeCell ref="M9:N9"/>
    <mergeCell ref="P9:Q9"/>
    <mergeCell ref="C7:F7"/>
    <mergeCell ref="G7:H7"/>
    <mergeCell ref="I7:J7"/>
    <mergeCell ref="C9:D9"/>
    <mergeCell ref="E9:F9"/>
    <mergeCell ref="G9:H9"/>
    <mergeCell ref="I9:J9"/>
    <mergeCell ref="K9:L9"/>
    <mergeCell ref="G6:H6"/>
    <mergeCell ref="I6:J6"/>
    <mergeCell ref="K6:N6"/>
    <mergeCell ref="P6:Q6"/>
    <mergeCell ref="A8:Q8"/>
    <mergeCell ref="K7:N7"/>
    <mergeCell ref="P7:Q7"/>
    <mergeCell ref="C4:D4"/>
    <mergeCell ref="E4:F4"/>
    <mergeCell ref="G4:H4"/>
    <mergeCell ref="I4:J4"/>
    <mergeCell ref="K4:L4"/>
    <mergeCell ref="C13:H13"/>
    <mergeCell ref="I13:J13"/>
    <mergeCell ref="K13:L13"/>
    <mergeCell ref="M13:N13"/>
    <mergeCell ref="P13:Q13"/>
    <mergeCell ref="M10:N10"/>
    <mergeCell ref="P10:Q10"/>
    <mergeCell ref="A11:Q11"/>
    <mergeCell ref="C12:H12"/>
    <mergeCell ref="I12:J12"/>
    <mergeCell ref="K12:L12"/>
    <mergeCell ref="M12:N12"/>
    <mergeCell ref="P12:Q12"/>
    <mergeCell ref="C10:D10"/>
    <mergeCell ref="E10:F10"/>
    <mergeCell ref="G10:H10"/>
    <mergeCell ref="I10:J10"/>
    <mergeCell ref="K10:L10"/>
    <mergeCell ref="A14:Q14"/>
    <mergeCell ref="E15:Q15"/>
    <mergeCell ref="A19:Q19"/>
    <mergeCell ref="A20:D20"/>
    <mergeCell ref="E20:Q20"/>
    <mergeCell ref="E16:Q16"/>
    <mergeCell ref="E17:Q17"/>
    <mergeCell ref="A15:A18"/>
    <mergeCell ref="E18:Q18"/>
    <mergeCell ref="C15:C17"/>
    <mergeCell ref="B15:B17"/>
  </mergeCells>
  <pageMargins left="0.47244094488188981" right="0.55118110236220474" top="0.43307086614173229" bottom="0.47244094488188981" header="0.31496062992125984" footer="0.31496062992125984"/>
  <pageSetup paperSize="9" scale="55" orientation="portrait" r:id="rId1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Rainfall</vt:lpstr>
      <vt:lpstr>River Gauge</vt:lpstr>
      <vt:lpstr>Resevior</vt:lpstr>
      <vt:lpstr>Rainfall!Print_Area</vt:lpstr>
      <vt:lpstr>Resevior!Print_Area</vt:lpstr>
      <vt:lpstr>'River Gauge'!Print_Area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Irrigation</cp:lastModifiedBy>
  <cp:lastPrinted>2026-06-19T08:39:50Z</cp:lastPrinted>
  <dcterms:created xsi:type="dcterms:W3CDTF">2025-06-06T02:16:00Z</dcterms:created>
  <dcterms:modified xsi:type="dcterms:W3CDTF">2026-06-24T03:39:35Z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